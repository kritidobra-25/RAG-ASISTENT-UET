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Udhëzime" sheetId="1" state="visible" r:id="rId1"/>
    <sheet xmlns:r="http://schemas.openxmlformats.org/officeDocument/2006/relationships" name="Vleresimi" sheetId="2" state="visible" r:id="rId2"/>
    <sheet xmlns:r="http://schemas.openxmlformats.org/officeDocument/2006/relationships" name="Përmbledhje" sheetId="3" state="visible" r:id="rId3"/>
  </sheets>
  <definedNames>
    <definedName name="_xlnm._FilterDatabase" localSheetId="1" hidden="1">'Vleresimi'!$A$1:$L$281</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0"/>
    </font>
    <font>
      <name val="Arial"/>
      <charset val="1"/>
      <family val="0"/>
      <sz val="10"/>
    </font>
    <font>
      <name val="Arial"/>
      <charset val="1"/>
      <family val="0"/>
      <b val="1"/>
      <color rgb="FFFFFFFF"/>
      <sz val="10"/>
    </font>
    <font>
      <name val="Arial"/>
      <charset val="1"/>
      <family val="0"/>
      <color rgb="FF0000FF"/>
      <sz val="10"/>
    </font>
    <font>
      <name val="Arial"/>
      <charset val="1"/>
      <family val="0"/>
      <i val="1"/>
      <sz val="9"/>
    </font>
    <font>
      <name val="Arial"/>
      <i val="1"/>
      <sz val="10"/>
    </font>
  </fonts>
  <fills count="6">
    <fill>
      <patternFill/>
    </fill>
    <fill>
      <patternFill patternType="gray125"/>
    </fill>
    <fill>
      <patternFill patternType="solid">
        <fgColor rgb="FF1F3864"/>
        <bgColor rgb="FF333333"/>
      </patternFill>
    </fill>
    <fill>
      <patternFill patternType="solid">
        <fgColor rgb="FFDDEBF7"/>
        <bgColor rgb="FFE7E6E6"/>
      </patternFill>
    </fill>
    <fill>
      <patternFill patternType="solid">
        <fgColor rgb="FFFFFF00"/>
        <bgColor rgb="FFFFFF00"/>
      </patternFill>
    </fill>
    <fill>
      <patternFill patternType="solid">
        <fgColor rgb="FFE7E6E6"/>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2" borderId="1" applyAlignment="1" pivotButton="0" quotePrefix="0" xfId="0">
      <alignment horizontal="general" vertical="center" wrapText="1"/>
    </xf>
    <xf numFmtId="0" fontId="5" fillId="3" borderId="1" applyAlignment="1" pivotButton="0" quotePrefix="0" xfId="0">
      <alignment horizontal="general" vertical="top" wrapText="1"/>
    </xf>
    <xf numFmtId="0" fontId="7" fillId="3" borderId="1" applyAlignment="1" pivotButton="0" quotePrefix="0" xfId="0">
      <alignment horizontal="general" vertical="top" wrapText="1"/>
    </xf>
    <xf numFmtId="0" fontId="5" fillId="0"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5" fillId="5" borderId="1" applyAlignment="1" pivotButton="0" quotePrefix="0" xfId="0">
      <alignment horizontal="general" vertical="top" wrapText="1"/>
    </xf>
    <xf numFmtId="0" fontId="6" fillId="2" borderId="0" applyAlignment="1" pivotButton="0" quotePrefix="0" xfId="0">
      <alignment horizontal="general" vertical="bottom"/>
    </xf>
    <xf numFmtId="0" fontId="5" fillId="0" borderId="0" applyAlignment="1" pivotButton="0" quotePrefix="0" xfId="0">
      <alignment horizontal="general" vertical="bottom"/>
    </xf>
    <xf numFmtId="164" fontId="5" fillId="0" borderId="0" applyAlignment="1" pivotButton="0" quotePrefix="0" xfId="0">
      <alignment horizontal="general" vertical="bottom"/>
    </xf>
    <xf numFmtId="164" fontId="4" fillId="0" borderId="0" applyAlignment="1" pivotButton="0" quotePrefix="0" xfId="0">
      <alignment horizontal="general" vertical="bottom"/>
    </xf>
    <xf numFmtId="2" fontId="5" fillId="0" borderId="0" applyAlignment="1" pivotButton="0" quotePrefix="0" xfId="0">
      <alignment horizontal="general" vertical="bottom"/>
    </xf>
    <xf numFmtId="2" fontId="4" fillId="0" borderId="0" applyAlignment="1" pivotButton="0" quotePrefix="0" xfId="0">
      <alignment horizontal="general" vertical="bottom"/>
    </xf>
    <xf numFmtId="0" fontId="4"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2" borderId="1" applyAlignment="1" pivotButton="0" quotePrefix="0" xfId="0">
      <alignment horizontal="general" vertical="center" wrapText="1"/>
    </xf>
    <xf numFmtId="0" fontId="5" fillId="3" borderId="1" applyAlignment="1" pivotButton="0" quotePrefix="0" xfId="0">
      <alignment horizontal="general" vertical="top" wrapText="1"/>
    </xf>
    <xf numFmtId="0" fontId="7" fillId="3" borderId="1" applyAlignment="1" pivotButton="0" quotePrefix="0" xfId="0">
      <alignment horizontal="general" vertical="top" wrapText="1"/>
    </xf>
    <xf numFmtId="0" fontId="5" fillId="0"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6" fillId="2" borderId="0" applyAlignment="1" pivotButton="0" quotePrefix="0" xfId="0">
      <alignment horizontal="general" vertical="bottom"/>
    </xf>
    <xf numFmtId="0" fontId="5" fillId="0" borderId="0" applyAlignment="1" pivotButton="0" quotePrefix="0" xfId="0">
      <alignment horizontal="general" vertical="bottom"/>
    </xf>
    <xf numFmtId="164" fontId="5" fillId="0" borderId="0" applyAlignment="1" pivotButton="0" quotePrefix="0" xfId="0">
      <alignment horizontal="general" vertical="bottom"/>
    </xf>
    <xf numFmtId="164" fontId="4" fillId="0" borderId="0" applyAlignment="1" pivotButton="0" quotePrefix="0" xfId="0">
      <alignment horizontal="general" vertical="bottom"/>
    </xf>
    <xf numFmtId="2" fontId="5" fillId="0" borderId="0" applyAlignment="1" pivotButton="0" quotePrefix="0" xfId="0">
      <alignment horizontal="general" vertical="bottom"/>
    </xf>
    <xf numFmtId="2" fontId="4" fillId="0" borderId="0" applyAlignment="1" pivotButton="0" quotePrefix="0" xfId="0">
      <alignment horizontal="general" vertical="bottom"/>
    </xf>
    <xf numFmtId="0" fontId="4"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3864"/>
          <bgColor rgb="FF000000"/>
        </patternFill>
      </fill>
    </dxf>
    <dxf>
      <fill>
        <patternFill patternType="solid">
          <fgColor rgb="FFDDEBF7"/>
          <bgColor rgb="FF000000"/>
        </patternFill>
      </fill>
    </dxf>
    <dxf>
      <fill>
        <patternFill patternType="solid">
          <fgColor rgb="FFE7E6E6"/>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7E6E6"/>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18" min="1" max="1"/>
  </cols>
  <sheetData>
    <row r="1" ht="15" customHeight="1" s="19">
      <c r="A1" s="20" t="inlineStr">
        <is>
          <t>Si të plotësohet vlerësimi</t>
        </is>
      </c>
    </row>
    <row r="2" ht="15" customHeight="1" s="19">
      <c r="A2" s="21" t="inlineStr">
        <is>
          <t>1. Hap fletën "Vleresimi". Çdo pyetje ka 5 rreshta, një për çdo ekzekutim (1–5).</t>
        </is>
      </c>
    </row>
    <row r="3" ht="15" customHeight="1" s="19">
      <c r="A3" s="21" t="inlineStr">
        <is>
          <t>2. Plotëso vetëm qelizat me sfond të VERDHË në kolonat "Vlerësimi" dhe "Halucinacion" (zgjidh nga lista).</t>
        </is>
      </c>
    </row>
    <row r="4" ht="15" customHeight="1" s="19">
      <c r="A4" s="21" t="inlineStr">
        <is>
          <t>3. Ekzekutimi 1 (sfond blu) është ekzekutimi origjinal; vlerësimet janë marrë nga Shtojca A e tezës dhe nuk ndryshohen.</t>
        </is>
      </c>
    </row>
    <row r="5" ht="23.85" customHeight="1" s="19">
      <c r="A5" s="21" t="inlineStr">
        <is>
          <t>4. Rreshtat GRI janë pyetje ku përgjigjet e ekzekutimeve 2–5 janë pothuajse identike (ngjashmëri ≥ 90% dhe e njëjta sjellje refuzimi). Ato marrin automatikisht vlerësimin e ekzekutimit 2. Hidhu një sy; nëse ndonjë ndryshon, shkruaj vlerësimin direkt mbi formulë.</t>
        </is>
      </c>
    </row>
    <row r="6" ht="15" customHeight="1" s="19">
      <c r="A6" s="21" t="inlineStr">
        <is>
          <t>5. Fleta "Përmbledhje" llogaritet vetë: saktësia për çdo ekzekutim, mesatarja ± devijimi standard dhe rezultatet sipas grupeve.</t>
        </is>
      </c>
    </row>
    <row r="7" ht="15" customHeight="1" s="19">
      <c r="A7" s="21" t="n"/>
    </row>
    <row r="8" ht="15" customHeight="1" s="19">
      <c r="A8" s="20" t="inlineStr">
        <is>
          <t>Kriteret (njësoj si në seksionin 5.1)</t>
        </is>
      </c>
    </row>
    <row r="9" ht="23.85" customHeight="1" s="19">
      <c r="A9" s="21" t="inlineStr">
        <is>
          <t>E saktë – përgjigjja përmban informacionin thelbësor pa gabime. Për pyetjet jashtë bazës: sistemi deklaron mungesën e informacionit ose, në Study Mode, e shënon qartë përmbajtjen si të përgjithshme.</t>
        </is>
      </c>
    </row>
    <row r="10" ht="15" customHeight="1" s="19">
      <c r="A10" s="21" t="inlineStr">
        <is>
          <t>Pjesërisht e saktë – e saktë në thelb, por me mangësi të rëndësishme ose një gabim dytësor.</t>
        </is>
      </c>
    </row>
    <row r="11" ht="15" customHeight="1" s="19">
      <c r="A11" s="21" t="inlineStr">
        <is>
          <t>E pasaktë – gabim thelbësor, refuzim i gabuar për pyetje brenda bazës, ose informacion i shpikur.</t>
        </is>
      </c>
    </row>
    <row r="12" ht="15" customHeight="1" s="19">
      <c r="A12" s="21" t="inlineStr">
        <is>
          <t>Halucinacion = "po" kur përgjigjja përmban emra, numra ose fakte që nuk mbështeten nga dokumentet.</t>
        </is>
      </c>
    </row>
    <row r="13" ht="15" customHeight="1" s="19">
      <c r="A13" s="21" t="n"/>
    </row>
    <row r="14" ht="15" customHeight="1" s="19">
      <c r="A14" s="21" t="inlineStr">
        <is>
          <t>Shembull i plotësimit: Vlerësimi = "Pjesërisht e saktë", Halucinacion = "jo", Shënime = "mungon profili Energjetikë".</t>
        </is>
      </c>
    </row>
    <row r="16">
      <c r="A16" s="36" t="inlineStr">
        <is>
          <t>Shënim për transparencë: vlerësimet e ekzekutimeve 2–5 (kolonat J, K, L) janë hartuar nga asistenti AI (Claude) duke krahasuar çdo përgjigje me 'Përgjigjen e pritur' dhe me tekstin e PDF-ve zyrtare. Rishikoji para se t'i përdorësh në tezë; kolona L shpjegon çdo vlerësim që nuk është 'E saktë'.</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281"/>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zeroHeight="0" outlineLevelRow="0"/>
  <cols>
    <col width="5" customWidth="1" style="18" min="1" max="1"/>
    <col width="7" customWidth="1" style="18" min="2" max="2"/>
    <col width="8" customWidth="1" style="18" min="3" max="3"/>
    <col width="30" customWidth="1" style="18" min="4" max="4"/>
    <col width="35" customWidth="1" style="18" min="5" max="5"/>
    <col width="10" customWidth="1" style="18" min="6" max="6"/>
    <col width="70" customWidth="1" style="18" min="7" max="7"/>
    <col width="25" customWidth="1" style="18" min="8" max="8"/>
    <col width="8" customWidth="1" style="18" min="9" max="9"/>
    <col width="16" customWidth="1" style="18" min="10" max="10"/>
    <col width="12" customWidth="1" style="18" min="11" max="11"/>
    <col width="25" customWidth="1" style="18" min="12" max="12"/>
  </cols>
  <sheetData>
    <row r="1" ht="46.25" customHeight="1" s="19">
      <c r="A1" s="22" t="inlineStr">
        <is>
          <t>Nr</t>
        </is>
      </c>
      <c r="B1" s="22" t="inlineStr">
        <is>
          <t>Grupi</t>
        </is>
      </c>
      <c r="C1" s="22" t="inlineStr">
        <is>
          <t>Brenda bazës</t>
        </is>
      </c>
      <c r="D1" s="22" t="inlineStr">
        <is>
          <t>Pyetja</t>
        </is>
      </c>
      <c r="E1" s="22" t="inlineStr">
        <is>
          <t>Përgjigjja e pritur</t>
        </is>
      </c>
      <c r="F1" s="22" t="inlineStr">
        <is>
          <t>Ekzekutimi</t>
        </is>
      </c>
      <c r="G1" s="22" t="inlineStr">
        <is>
          <t>Përgjigjja e asistentit</t>
        </is>
      </c>
      <c r="H1" s="22" t="inlineStr">
        <is>
          <t>Burimet</t>
        </is>
      </c>
      <c r="I1" s="22" t="inlineStr">
        <is>
          <t>Koha (s)</t>
        </is>
      </c>
      <c r="J1" s="22" t="inlineStr">
        <is>
          <t>Vlerësimi</t>
        </is>
      </c>
      <c r="K1" s="22" t="inlineStr">
        <is>
          <t>Halucinacion</t>
        </is>
      </c>
      <c r="L1" s="22" t="inlineStr">
        <is>
          <t>Shënime</t>
        </is>
      </c>
    </row>
    <row r="2" ht="23.85" customHeight="1" s="19">
      <c r="A2" s="23" t="n">
        <v>1</v>
      </c>
      <c r="B2" s="23" t="inlineStr">
        <is>
          <t>A</t>
        </is>
      </c>
      <c r="C2" s="23" t="inlineStr">
        <is>
          <t>po</t>
        </is>
      </c>
      <c r="D2" s="23" t="inlineStr">
        <is>
          <t>Cilat janë profilet e Master Shkencor në Inxhinieri Ndërtimi?</t>
        </is>
      </c>
      <c r="E2" s="23" t="inlineStr">
        <is>
          <t>Inxhinieri Strukturash dhe Infrastrukturë Transporti</t>
        </is>
      </c>
      <c r="F2" s="23" t="n">
        <v>1</v>
      </c>
      <c r="G2" s="23" t="inlineStr">
        <is>
          <t>(Teksti i përgjigjes së ekzekutimit origjinal nuk është i disponueshëm – vlerësimi është marrë nga Shtojca A.)</t>
        </is>
      </c>
      <c r="H2" s="23" t="n"/>
      <c r="I2" s="23" t="n">
        <v>4.76</v>
      </c>
      <c r="J2" s="24" t="inlineStr">
        <is>
          <t>E saktë</t>
        </is>
      </c>
      <c r="K2" s="24" t="inlineStr">
        <is>
          <t>jo</t>
        </is>
      </c>
      <c r="L2" s="23" t="n"/>
    </row>
    <row r="3" ht="135.8" customHeight="1" s="19">
      <c r="A3" s="25" t="n">
        <v>1</v>
      </c>
      <c r="B3" s="25" t="inlineStr">
        <is>
          <t>A</t>
        </is>
      </c>
      <c r="C3" s="25" t="inlineStr">
        <is>
          <t>po</t>
        </is>
      </c>
      <c r="D3" s="25" t="inlineStr">
        <is>
          <t>Cilat janë profilet e Master Shkencor në Inxhinieri Ndërtimi?</t>
        </is>
      </c>
      <c r="E3" s="25" t="inlineStr">
        <is>
          <t>Inxhinieri Strukturash dhe Infrastrukturë Transporti</t>
        </is>
      </c>
      <c r="F3" s="25" t="n">
        <v>2</v>
      </c>
      <c r="G3" s="25" t="inlineStr">
        <is>
          <t>Programi i Masterit të Shkencave në Inxhinieri Ndërtimi ofron dy profile:
1. **Inxhinieri Strukturash**: Ky profil fokusohet në projektimin e strukturave speciale prej betoni të armuar, aplikimin e metodave të avancuara të analizës për simullimin e sjelljes së strukturave nën ngarkesa të ndryshme, dhe analizimin e zgjidhjeve për restaurimin dhe përforcimin e strukturave ekzistuese.
2. **Infrastrukturë Transporti**: Ky profil përfshin aspekte të menaxhimit dhe zhvillimit të infrastrukturës transportuese, duke u fokusuar në zgjidhjet inxhinierike për transportin dhe logjistikën.
(Burimi: Master i Shkencave në Inxhinieri Ndërtimi, f. 1)</t>
        </is>
      </c>
      <c r="H3" s="25" t="inlineStr">
        <is>
          <t>IV_b-INXHINIERI-NDERTIMI_MSH.pdf (f. 1) | IV_c-INXHINIERI-MEKANIKE_MSH.pdf (f. 2, 3)</t>
        </is>
      </c>
      <c r="I3" s="25" t="n">
        <v>3.12</v>
      </c>
      <c r="J3" s="26" t="inlineStr">
        <is>
          <t>Pjesërisht e saktë</t>
        </is>
      </c>
      <c r="K3" s="26" t="inlineStr">
        <is>
          <t>po</t>
        </is>
      </c>
      <c r="L3" s="25" t="inlineStr">
        <is>
          <t>Dy profilet e sakta, por thotë se Infrastruktura e Transportit lidhet me 'logjistikën' dhe 'menaxhimin'; dokumenti flet për modelim dhe projektim të veprave (rrugë, ura, tunele, hekurudha).</t>
        </is>
      </c>
    </row>
    <row r="4" ht="113.4" customHeight="1" s="19">
      <c r="A4" s="25" t="n">
        <v>1</v>
      </c>
      <c r="B4" s="25" t="inlineStr">
        <is>
          <t>A</t>
        </is>
      </c>
      <c r="C4" s="25" t="inlineStr">
        <is>
          <t>po</t>
        </is>
      </c>
      <c r="D4" s="25" t="inlineStr">
        <is>
          <t>Cilat janë profilet e Master Shkencor në Inxhinieri Ndërtimi?</t>
        </is>
      </c>
      <c r="E4" s="25" t="inlineStr">
        <is>
          <t>Inxhinieri Strukturash dhe Infrastrukturë Transporti</t>
        </is>
      </c>
      <c r="F4" s="25" t="n">
        <v>3</v>
      </c>
      <c r="G4" s="25" t="inlineStr">
        <is>
          <t>Programi i Masterit të Shkencave në Inxhinieri Ndërtimi ofron dy profile:
1. **Inxhinieri Strukturash**: Ky profil fokusohet në projektimin e strukturave speciale prej betoni të armuar, aplikimin e metodave të avancuara të analizës për simullimin e sjelljes së strukturave, dhe analizimin e zgjidhjeve për restaurimin dhe përforcimin e strukturave ekzistuese.
2. **Infrastrukturë Transporti**: Ky profil përfshin aspekte të menaxhimit dhe projektimit të infrastrukturës së transportit (Burimi: Master i Shkencave në Inxhinieri Ndërtimi, f. 1).</t>
        </is>
      </c>
      <c r="H4" s="25" t="inlineStr">
        <is>
          <t>IV_b-INXHINIERI-NDERTIMI_MSH.pdf (f. 1) | IV_c-INXHINIERI-MEKANIKE_MSH.pdf (f. 2, 3)</t>
        </is>
      </c>
      <c r="I4" s="25" t="n">
        <v>3.8</v>
      </c>
      <c r="J4" s="26" t="inlineStr">
        <is>
          <t>E saktë</t>
        </is>
      </c>
      <c r="K4" s="26" t="inlineStr">
        <is>
          <t>jo</t>
        </is>
      </c>
      <c r="L4" s="25" t="inlineStr">
        <is>
          <t>Dy profilet e sakta. Përshkrimi përdor 'menaxhim' në vend të 'modelim/projektim' për Infrastrukturën e Transportit: paraphrasim i përgjithshëm, jo detaj i shpikur.</t>
        </is>
      </c>
    </row>
    <row r="5" ht="91" customHeight="1" s="19">
      <c r="A5" s="25" t="n">
        <v>1</v>
      </c>
      <c r="B5" s="25" t="inlineStr">
        <is>
          <t>A</t>
        </is>
      </c>
      <c r="C5" s="25" t="inlineStr">
        <is>
          <t>po</t>
        </is>
      </c>
      <c r="D5" s="25" t="inlineStr">
        <is>
          <t>Cilat janë profilet e Master Shkencor në Inxhinieri Ndërtimi?</t>
        </is>
      </c>
      <c r="E5" s="25" t="inlineStr">
        <is>
          <t>Inxhinieri Strukturash dhe Infrastrukturë Transporti</t>
        </is>
      </c>
      <c r="F5" s="25" t="n">
        <v>4</v>
      </c>
      <c r="G5" s="25" t="inlineStr">
        <is>
          <t>Programi Master i Shkencave në Inxhinieri Ndërtimi ofron dy profile:
1. **Inxhinieri Strukturash** - Ky profil fokusohet në projektimin e strukturave speciale, aplikimin e metodave të avancuara të analizës dhe restaurimin e strukturave ekzistuese.
2. **Infrastrukturë Transporti** - Ky profil përfshin aspekte të menaxhimit dhe zhvillimit të infrastrukturës transporti (Burimi: Master i Shkencave në Inxhinieri Ndërtimi, f. 1).</t>
        </is>
      </c>
      <c r="H5" s="25" t="inlineStr">
        <is>
          <t>IV_b-INXHINIERI-NDERTIMI_MSH.pdf (f. 1) | IV_c-INXHINIERI-MEKANIKE_MSH.pdf (f. 2, 3)</t>
        </is>
      </c>
      <c r="I5" s="25" t="n">
        <v>2.87</v>
      </c>
      <c r="J5" s="26" t="inlineStr">
        <is>
          <t>E saktë</t>
        </is>
      </c>
      <c r="K5" s="26" t="inlineStr">
        <is>
          <t>jo</t>
        </is>
      </c>
      <c r="L5" s="25" t="inlineStr">
        <is>
          <t>Dy profilet e sakta. Përshkrimi përdor 'menaxhim' në vend të 'modelim/projektim' për Infrastrukturën e Transportit: paraphrasim i përgjithshëm, jo detaj i shpikur.</t>
        </is>
      </c>
    </row>
    <row r="6" ht="102.2" customHeight="1" s="19">
      <c r="A6" s="25" t="n">
        <v>1</v>
      </c>
      <c r="B6" s="25" t="inlineStr">
        <is>
          <t>A</t>
        </is>
      </c>
      <c r="C6" s="25" t="inlineStr">
        <is>
          <t>po</t>
        </is>
      </c>
      <c r="D6" s="25" t="inlineStr">
        <is>
          <t>Cilat janë profilet e Master Shkencor në Inxhinieri Ndërtimi?</t>
        </is>
      </c>
      <c r="E6" s="25" t="inlineStr">
        <is>
          <t>Inxhinieri Strukturash dhe Infrastrukturë Transporti</t>
        </is>
      </c>
      <c r="F6" s="25" t="n">
        <v>5</v>
      </c>
      <c r="G6" s="25" t="inlineStr">
        <is>
          <t>Programi i Masterit të Shkencave në Inxhinieri Ndërtimi ofron dy profile:
1. **Inxhinieri Strukturash** - Ky profil përfshin projektimin e strukturave speciale prej betoni të armuar, aplikimin e metodave të avancuara të analizës për simullimin e sjelljes së strukturave, dhe analizimin e zgjidhjeve për restaurimin dhe përforcimin e strukturave ekzistuese.
2. **Infrastrukturë Transporti** - Ky profil fokusohet në menaxhimin dhe zhvillimin e infrastrukturës transportuese (Master i Shkencave në Inxhinieri Ndërtimi, f. 1).</t>
        </is>
      </c>
      <c r="H6" s="25" t="inlineStr">
        <is>
          <t>IV_b-INXHINIERI-NDERTIMI_MSH.pdf (f. 1) | IV_c-INXHINIERI-MEKANIKE_MSH.pdf (f. 2, 3)</t>
        </is>
      </c>
      <c r="I6" s="25" t="n">
        <v>2.97</v>
      </c>
      <c r="J6" s="26" t="inlineStr">
        <is>
          <t>E saktë</t>
        </is>
      </c>
      <c r="K6" s="26" t="inlineStr">
        <is>
          <t>jo</t>
        </is>
      </c>
      <c r="L6" s="25" t="inlineStr">
        <is>
          <t>Dy profilet e sakta. Përshkrimi përdor 'menaxhim' në vend të 'modelim/projektim' për Infrastrukturën e Transportit: paraphrasim i përgjithshëm, jo detaj i shpikur.</t>
        </is>
      </c>
    </row>
    <row r="7" ht="23.85" customHeight="1" s="19">
      <c r="A7" s="23" t="n">
        <v>2</v>
      </c>
      <c r="B7" s="23" t="inlineStr">
        <is>
          <t>A</t>
        </is>
      </c>
      <c r="C7" s="23" t="inlineStr">
        <is>
          <t>po</t>
        </is>
      </c>
      <c r="D7" s="23" t="inlineStr">
        <is>
          <t>Cilat janë profilet e Master Shkencor në Inxhinieri Mekanike?</t>
        </is>
      </c>
      <c r="E7" s="23" t="inlineStr">
        <is>
          <t>Energjitikë dhe Infrastrukturë Transporti</t>
        </is>
      </c>
      <c r="F7" s="23" t="n">
        <v>1</v>
      </c>
      <c r="G7" s="23" t="inlineStr">
        <is>
          <t>(Teksti i përgjigjes së ekzekutimit origjinal nuk është i disponueshëm – vlerësimi është marrë nga Shtojca A.)</t>
        </is>
      </c>
      <c r="H7" s="23" t="n"/>
      <c r="I7" s="23" t="n">
        <v>3.12</v>
      </c>
      <c r="J7" s="24" t="inlineStr">
        <is>
          <t>E saktë</t>
        </is>
      </c>
      <c r="K7" s="24" t="inlineStr">
        <is>
          <t>jo</t>
        </is>
      </c>
      <c r="L7" s="23" t="n"/>
    </row>
    <row r="8" ht="79.84999999999999" customHeight="1" s="19">
      <c r="A8" s="25" t="n">
        <v>2</v>
      </c>
      <c r="B8" s="25" t="inlineStr">
        <is>
          <t>A</t>
        </is>
      </c>
      <c r="C8" s="25" t="inlineStr">
        <is>
          <t>po</t>
        </is>
      </c>
      <c r="D8" s="25" t="inlineStr">
        <is>
          <t>Cilat janë profilet e Master Shkencor në Inxhinieri Mekanike?</t>
        </is>
      </c>
      <c r="E8" s="25" t="inlineStr">
        <is>
          <t>Energjitikë dhe Infrastrukturë Transporti</t>
        </is>
      </c>
      <c r="F8" s="25" t="n">
        <v>2</v>
      </c>
      <c r="G8" s="25" t="inlineStr">
        <is>
          <t>Programi i Masterit të Shkencave në Inxhinieri Mekanike ofron dy profile:
1. Energjitikë
2. Infrastrukturë Transporti
Këto profile ofrojnë mundësi të specializimit në fusha të ndryshme të inxhinierisë mekanike. (Master i Shkencave në Inxhinieri Mekanike, f. 1)</t>
        </is>
      </c>
      <c r="H8" s="25" t="inlineStr">
        <is>
          <t>IV_c-INXHINIERI-MEKANIKE_MSH.pdf (f. 1, 2, 3)</t>
        </is>
      </c>
      <c r="I8" s="25" t="n">
        <v>2.04</v>
      </c>
      <c r="J8" s="26" t="inlineStr">
        <is>
          <t>E saktë</t>
        </is>
      </c>
      <c r="K8" s="26" t="inlineStr">
        <is>
          <t>jo</t>
        </is>
      </c>
      <c r="L8" s="25" t="n"/>
    </row>
    <row r="9" ht="68.65000000000001" customHeight="1" s="19">
      <c r="A9" s="25" t="n">
        <v>2</v>
      </c>
      <c r="B9" s="25" t="inlineStr">
        <is>
          <t>A</t>
        </is>
      </c>
      <c r="C9" s="25" t="inlineStr">
        <is>
          <t>po</t>
        </is>
      </c>
      <c r="D9" s="25" t="inlineStr">
        <is>
          <t>Cilat janë profilet e Master Shkencor në Inxhinieri Mekanike?</t>
        </is>
      </c>
      <c r="E9" s="25" t="inlineStr">
        <is>
          <t>Energjitikë dhe Infrastrukturë Transporti</t>
        </is>
      </c>
      <c r="F9" s="25" t="n">
        <v>3</v>
      </c>
      <c r="G9" s="25" t="inlineStr">
        <is>
          <t>Programi i Masterit të Shkencave në Inxhinieri Mekanike ofron dy profile:
1. **Energjitikë**
2. **Infrastrukturë Transporti** 
(Burimi: Master i Shkencave në Inxhinieri Mekanike, f. 1)</t>
        </is>
      </c>
      <c r="H9" s="25" t="inlineStr">
        <is>
          <t>IV_c-INXHINIERI-MEKANIKE_MSH.pdf (f. 1, 2, 3)</t>
        </is>
      </c>
      <c r="I9" s="25" t="n">
        <v>1.95</v>
      </c>
      <c r="J9" s="26" t="inlineStr">
        <is>
          <t>E saktë</t>
        </is>
      </c>
      <c r="K9" s="26" t="inlineStr">
        <is>
          <t>jo</t>
        </is>
      </c>
      <c r="L9" s="25" t="n"/>
    </row>
    <row r="10" ht="68.65000000000001" customHeight="1" s="19">
      <c r="A10" s="25" t="n">
        <v>2</v>
      </c>
      <c r="B10" s="25" t="inlineStr">
        <is>
          <t>A</t>
        </is>
      </c>
      <c r="C10" s="25" t="inlineStr">
        <is>
          <t>po</t>
        </is>
      </c>
      <c r="D10" s="25" t="inlineStr">
        <is>
          <t>Cilat janë profilet e Master Shkencor në Inxhinieri Mekanike?</t>
        </is>
      </c>
      <c r="E10" s="25" t="inlineStr">
        <is>
          <t>Energjitikë dhe Infrastrukturë Transporti</t>
        </is>
      </c>
      <c r="F10" s="25" t="n">
        <v>4</v>
      </c>
      <c r="G10" s="25" t="inlineStr">
        <is>
          <t>Programi i Masterit të Shkencave në Inxhinieri Mekanike ofron dy profile:
1. **Energjitikë**
2. **Infrastrukturë Transporti** 
(Burimi: Master i Shkencave në Inxhinieri Mekanike, f. 1)</t>
        </is>
      </c>
      <c r="H10" s="25" t="inlineStr">
        <is>
          <t>IV_c-INXHINIERI-MEKANIKE_MSH.pdf (f. 1, 2, 3)</t>
        </is>
      </c>
      <c r="I10" s="25" t="n">
        <v>1.69</v>
      </c>
      <c r="J10" s="26" t="inlineStr">
        <is>
          <t>E saktë</t>
        </is>
      </c>
      <c r="K10" s="26" t="inlineStr">
        <is>
          <t>jo</t>
        </is>
      </c>
      <c r="L10" s="25" t="n"/>
    </row>
    <row r="11" ht="79.84999999999999" customHeight="1" s="19">
      <c r="A11" s="25" t="n">
        <v>2</v>
      </c>
      <c r="B11" s="25" t="inlineStr">
        <is>
          <t>A</t>
        </is>
      </c>
      <c r="C11" s="25" t="inlineStr">
        <is>
          <t>po</t>
        </is>
      </c>
      <c r="D11" s="25" t="inlineStr">
        <is>
          <t>Cilat janë profilet e Master Shkencor në Inxhinieri Mekanike?</t>
        </is>
      </c>
      <c r="E11" s="25" t="inlineStr">
        <is>
          <t>Energjitikë dhe Infrastrukturë Transporti</t>
        </is>
      </c>
      <c r="F11" s="25" t="n">
        <v>5</v>
      </c>
      <c r="G11" s="25" t="inlineStr">
        <is>
          <t>Programi i Masterit të Shkencave në Inxhinieri Mekanike ofron dy profile:
1. **Energjitikë**
2. **Infrastrukturë Transporti** 
Këto profile ofrojnë mundësi të specializimit në fusha të ndryshme të inxhinierisë mekanike (Master i Shkencave në Inxhinieri Mekanike, f. 1).</t>
        </is>
      </c>
      <c r="H11" s="25" t="inlineStr">
        <is>
          <t>IV_c-INXHINIERI-MEKANIKE_MSH.pdf (f. 1, 2, 3)</t>
        </is>
      </c>
      <c r="I11" s="25" t="n">
        <v>2.26</v>
      </c>
      <c r="J11" s="26" t="inlineStr">
        <is>
          <t>E saktë</t>
        </is>
      </c>
      <c r="K11" s="26" t="inlineStr">
        <is>
          <t>jo</t>
        </is>
      </c>
      <c r="L11" s="25" t="n"/>
    </row>
    <row r="12" ht="23.85" customHeight="1" s="19">
      <c r="A12" s="23" t="n">
        <v>3</v>
      </c>
      <c r="B12" s="23" t="inlineStr">
        <is>
          <t>A</t>
        </is>
      </c>
      <c r="C12" s="23" t="inlineStr">
        <is>
          <t>po</t>
        </is>
      </c>
      <c r="D12" s="23" t="inlineStr">
        <is>
          <t>Cilat janë profilet e Master Shkencor në Inxhinieri Elektrike?</t>
        </is>
      </c>
      <c r="E12" s="23" t="inlineStr">
        <is>
          <t>Energjetikë dhe Automatizim-Industri</t>
        </is>
      </c>
      <c r="F12" s="23" t="n">
        <v>1</v>
      </c>
      <c r="G12" s="23" t="inlineStr">
        <is>
          <t>(Teksti i përgjigjes së ekzekutimit origjinal nuk është i disponueshëm – vlerësimi është marrë nga Shtojca A.)</t>
        </is>
      </c>
      <c r="H12" s="23" t="n"/>
      <c r="I12" s="23" t="n">
        <v>2.29</v>
      </c>
      <c r="J12" s="24" t="inlineStr">
        <is>
          <t>Pjesërisht e saktë</t>
        </is>
      </c>
      <c r="K12" s="24" t="inlineStr">
        <is>
          <t>jo</t>
        </is>
      </c>
      <c r="L12" s="23" t="n"/>
    </row>
    <row r="13" ht="102.2" customHeight="1" s="19">
      <c r="A13" s="25" t="n">
        <v>3</v>
      </c>
      <c r="B13" s="25" t="inlineStr">
        <is>
          <t>A</t>
        </is>
      </c>
      <c r="C13" s="25" t="inlineStr">
        <is>
          <t>po</t>
        </is>
      </c>
      <c r="D13" s="25" t="inlineStr">
        <is>
          <t>Cilat janë profilet e Master Shkencor në Inxhinieri Elektrike?</t>
        </is>
      </c>
      <c r="E13" s="25" t="inlineStr">
        <is>
          <t>Energjetikë dhe Automatizim-Industri</t>
        </is>
      </c>
      <c r="F13" s="25" t="n">
        <v>2</v>
      </c>
      <c r="G13" s="25" t="inlineStr">
        <is>
          <t>Programi i Masterit të Shkencave në Inxhinieri Elektrike ka profilin e energjetikës. Studentët do të jenë të aftë:
- Të krijojnë dhe menaxhojnë sisteme komplekse energjetike, duke përfshirë burimet e rinovueshme dhe të energjisë konvencionale, duke garantuar furnizim të qëndrueshëm dhe efikas.
- Të vlerësojnë burimet e energjisë dhe ndikimet e tyre ekologjike, ekonomike dhe teknologjike për të realizuar projekte të qëndrueshme dhe të eficientë energjetike (Master i Shkencave në Inxhinieri Elektrike, f. 2).</t>
        </is>
      </c>
      <c r="H13" s="25" t="inlineStr">
        <is>
          <t>IV_c-INXHINIERI-ELEKTRIKE_MSH-2.pdf (f. 2, 3, 1) | IV_c-INXHINIERI-MEKANIKE_MSH.pdf (f. 2)</t>
        </is>
      </c>
      <c r="I13" s="25" t="n">
        <v>2.46</v>
      </c>
      <c r="J13" s="26" t="inlineStr">
        <is>
          <t>Pjesërisht e saktë</t>
        </is>
      </c>
      <c r="K13" s="26" t="inlineStr">
        <is>
          <t>jo</t>
        </is>
      </c>
      <c r="L13" s="25" t="inlineStr">
        <is>
          <t>Përmendet vetëm profili Energjetikë; mungon Automatizim-Industri. Përgjigjja e paraqet si 'një profil të veçantë'.</t>
        </is>
      </c>
    </row>
    <row r="14" ht="113.4" customHeight="1" s="19">
      <c r="A14" s="25" t="n">
        <v>3</v>
      </c>
      <c r="B14" s="25" t="inlineStr">
        <is>
          <t>A</t>
        </is>
      </c>
      <c r="C14" s="25" t="inlineStr">
        <is>
          <t>po</t>
        </is>
      </c>
      <c r="D14" s="25" t="inlineStr">
        <is>
          <t>Cilat janë profilet e Master Shkencor në Inxhinieri Elektrike?</t>
        </is>
      </c>
      <c r="E14" s="25" t="inlineStr">
        <is>
          <t>Energjetikë dhe Automatizim-Industri</t>
        </is>
      </c>
      <c r="F14" s="25" t="n">
        <v>3</v>
      </c>
      <c r="G14" s="25" t="inlineStr">
        <is>
          <t>Programi i Masterit të Shkencave në Inxhinieri Elektrike ka një profil të veçantë, që është:
**Profili: Energjitikë**
- Studentët do të jenë të aftë të krijojnë dhe menaxhojnë sisteme komplekse energjetike, duke përfshirë burimet e rinovueshme dhe të energjisë konvencionale, duke garantuar furnizim të qëndrueshëm dhe efikas.
- Ata do të vlerësojnë burimet e energjisë dhe ndikimet e tyre ekologjike, ekonomike dhe teknologjike për të realizuar projekte të qëndrueshme dhe të eficientë energjetike. (Master i Shkencave në Inxhinieri Elektrike, f. 2)</t>
        </is>
      </c>
      <c r="H14" s="25" t="inlineStr">
        <is>
          <t>IV_c-INXHINIERI-ELEKTRIKE_MSH-2.pdf (f. 2, 3, 1) | IV_c-INXHINIERI-MEKANIKE_MSH.pdf (f. 2)</t>
        </is>
      </c>
      <c r="I14" s="25" t="n">
        <v>2.47</v>
      </c>
      <c r="J14" s="26" t="inlineStr">
        <is>
          <t>Pjesërisht e saktë</t>
        </is>
      </c>
      <c r="K14" s="26" t="inlineStr">
        <is>
          <t>jo</t>
        </is>
      </c>
      <c r="L14" s="25" t="inlineStr">
        <is>
          <t>Përmendet vetëm profili Energjetikë; mungon Automatizim-Industri. Përgjigjja e paraqet si 'një profil të veçantë'.</t>
        </is>
      </c>
    </row>
    <row r="15" ht="102.2" customHeight="1" s="19">
      <c r="A15" s="25" t="n">
        <v>3</v>
      </c>
      <c r="B15" s="25" t="inlineStr">
        <is>
          <t>A</t>
        </is>
      </c>
      <c r="C15" s="25" t="inlineStr">
        <is>
          <t>po</t>
        </is>
      </c>
      <c r="D15" s="25" t="inlineStr">
        <is>
          <t>Cilat janë profilet e Master Shkencor në Inxhinieri Elektrike?</t>
        </is>
      </c>
      <c r="E15" s="25" t="inlineStr">
        <is>
          <t>Energjetikë dhe Automatizim-Industri</t>
        </is>
      </c>
      <c r="F15" s="25" t="n">
        <v>4</v>
      </c>
      <c r="G15" s="25" t="inlineStr">
        <is>
          <t>Programi i Masterit të Shkencave në Inxhinieri Elektrike ka profilin e energjetikës. Studentët do të jenë të aftë:
- Të krijojnë dhe menaxhojnë sisteme komplekse energjetike, duke përfshirë burimet e rinovueshme dhe të energjisë konvencionale, duke garantuar furnizim të qëndrueshëm dhe efikas.
- Të vlerësojnë burimet e energjisë dhe ndikimet e tyre ekologjike, ekonomike dhe teknologjike për të realizuar projekte të qëndrueshme dhe të eficientë energjetike. (Burimi: Master i Shkencave në Inxhinieri Elektrike, f. 2)</t>
        </is>
      </c>
      <c r="H15" s="25" t="inlineStr">
        <is>
          <t>IV_c-INXHINIERI-ELEKTRIKE_MSH-2.pdf (f. 2, 3, 1) | IV_c-INXHINIERI-MEKANIKE_MSH.pdf (f. 2)</t>
        </is>
      </c>
      <c r="I15" s="25" t="n">
        <v>2.67</v>
      </c>
      <c r="J15" s="26" t="inlineStr">
        <is>
          <t>Pjesërisht e saktë</t>
        </is>
      </c>
      <c r="K15" s="26" t="inlineStr">
        <is>
          <t>jo</t>
        </is>
      </c>
      <c r="L15" s="25" t="inlineStr">
        <is>
          <t>Përmendet vetëm profili Energjetikë; mungon Automatizim-Industri. Përgjigjja e paraqet si 'një profil të veçantë'.</t>
        </is>
      </c>
    </row>
    <row r="16" ht="113.4" customHeight="1" s="19">
      <c r="A16" s="25" t="n">
        <v>3</v>
      </c>
      <c r="B16" s="25" t="inlineStr">
        <is>
          <t>A</t>
        </is>
      </c>
      <c r="C16" s="25" t="inlineStr">
        <is>
          <t>po</t>
        </is>
      </c>
      <c r="D16" s="25" t="inlineStr">
        <is>
          <t>Cilat janë profilet e Master Shkencor në Inxhinieri Elektrike?</t>
        </is>
      </c>
      <c r="E16" s="25" t="inlineStr">
        <is>
          <t>Energjetikë dhe Automatizim-Industri</t>
        </is>
      </c>
      <c r="F16" s="25" t="n">
        <v>5</v>
      </c>
      <c r="G16" s="25" t="inlineStr">
        <is>
          <t>Programi i Masterit të Shkencave në Inxhinieri Elektrike ka një profil të veçantë, që është:
**Profili: Energjitikë**
- Studentët do të jenë të aftë të krijojnë dhe menaxhojnë sisteme komplekse energjetike, duke përfshirë burimet e rinovueshme dhe të energjisë konvencionale, duke garantuar furnizim të qëndrueshëm dhe efikas.
- Ata do të vlerësojnë burimet e energjisë dhe ndikimet e tyre ekologjike, ekonomike dhe teknologjike për të realizuar projekte të qëndrueshme dhe të eficientë energjetike. (Master i Shkencave në Inxhinieri Elektrike, f. 2)</t>
        </is>
      </c>
      <c r="H16" s="25" t="inlineStr">
        <is>
          <t>IV_c-INXHINIERI-ELEKTRIKE_MSH-2.pdf (f. 2, 3, 1) | IV_c-INXHINIERI-MEKANIKE_MSH.pdf (f. 2)</t>
        </is>
      </c>
      <c r="I16" s="25" t="n">
        <v>3.02</v>
      </c>
      <c r="J16" s="26" t="inlineStr">
        <is>
          <t>Pjesërisht e saktë</t>
        </is>
      </c>
      <c r="K16" s="26" t="inlineStr">
        <is>
          <t>jo</t>
        </is>
      </c>
      <c r="L16" s="25" t="inlineStr">
        <is>
          <t>Përmendet vetëm profili Energjetikë; mungon Automatizim-Industri. Përgjigjja e paraqet si 'një profil të veçantë'.</t>
        </is>
      </c>
    </row>
    <row r="17" ht="35.05" customHeight="1" s="19">
      <c r="A17" s="23" t="n">
        <v>4</v>
      </c>
      <c r="B17" s="23" t="inlineStr">
        <is>
          <t>A</t>
        </is>
      </c>
      <c r="C17" s="23" t="inlineStr">
        <is>
          <t>po</t>
        </is>
      </c>
      <c r="D17" s="23" t="inlineStr">
        <is>
          <t>Cilat janë profilet e Master Shkencor në Teknologji Informacioni?</t>
        </is>
      </c>
      <c r="E17" s="23" t="inlineStr">
        <is>
          <t>Zhvillim Softweresh; IT e biznesit; Menaxhim dhe Vlerësim Projektesh; Inovacion</t>
        </is>
      </c>
      <c r="F17" s="23" t="n">
        <v>1</v>
      </c>
      <c r="G17" s="23" t="inlineStr">
        <is>
          <t>(Teksti i përgjigjes së ekzekutimit origjinal nuk është i disponueshëm – vlerësimi është marrë nga Shtojca A.)</t>
        </is>
      </c>
      <c r="H17" s="23" t="n"/>
      <c r="I17" s="23" t="n">
        <v>2.11</v>
      </c>
      <c r="J17" s="24" t="inlineStr">
        <is>
          <t>E saktë</t>
        </is>
      </c>
      <c r="K17" s="24" t="inlineStr">
        <is>
          <t>jo</t>
        </is>
      </c>
      <c r="L17" s="23" t="n"/>
    </row>
    <row r="18" ht="91" customHeight="1" s="19">
      <c r="A18" s="25" t="n">
        <v>4</v>
      </c>
      <c r="B18" s="25" t="inlineStr">
        <is>
          <t>A</t>
        </is>
      </c>
      <c r="C18" s="25" t="inlineStr">
        <is>
          <t>po</t>
        </is>
      </c>
      <c r="D18" s="25" t="inlineStr">
        <is>
          <t>Cilat janë profilet e Master Shkencor në Teknologji Informacioni?</t>
        </is>
      </c>
      <c r="E18" s="25" t="inlineStr">
        <is>
          <t>Zhvillim Softweresh; IT e biznesit; Menaxhim dhe Vlerësim Projektesh; Inovacion</t>
        </is>
      </c>
      <c r="F18" s="25" t="n">
        <v>2</v>
      </c>
      <c r="G18" s="25" t="inlineStr">
        <is>
          <t>Programi: Master i Shkencave në Teknologji Informacioni ka profilet e mëposhtme:
1. Profili I: 
2. Profili II: 
3. Profili III: 
4. Profili IV: 
Burimi: Master i Shkencave në Teknologji Informacioni.</t>
        </is>
      </c>
      <c r="H18" s="25" t="inlineStr">
        <is>
          <t>MSc_-Teknologji-Informacioni.pdf (f. 1) | Msc_-Inxhinieri-Informatike.pdf (f. 1) | MSH-Informatike-Ekonomike-AL.pdf (f. 1)</t>
        </is>
      </c>
      <c r="I18" s="25" t="n">
        <v>1.95</v>
      </c>
      <c r="J18" s="26" t="inlineStr">
        <is>
          <t>E pasaktë</t>
        </is>
      </c>
      <c r="K18" s="26" t="inlineStr">
        <is>
          <t>jo</t>
        </is>
      </c>
      <c r="L18" s="25" t="inlineStr">
        <is>
          <t>Liston 4 etiketa bosh 'Profili I:' ... 'Profili IV:' pa emrat e profileve. Informacioni thelbësor mungon.</t>
        </is>
      </c>
    </row>
    <row r="19" ht="68.65000000000001" customHeight="1" s="19">
      <c r="A19" s="25" t="n">
        <v>4</v>
      </c>
      <c r="B19" s="25" t="inlineStr">
        <is>
          <t>A</t>
        </is>
      </c>
      <c r="C19" s="25" t="inlineStr">
        <is>
          <t>po</t>
        </is>
      </c>
      <c r="D19" s="25" t="inlineStr">
        <is>
          <t>Cilat janë profilet e Master Shkencor në Teknologji Informacioni?</t>
        </is>
      </c>
      <c r="E19" s="25" t="inlineStr">
        <is>
          <t>Zhvillim Softweresh; IT e biznesit; Menaxhim dhe Vlerësim Projektesh; Inovacion</t>
        </is>
      </c>
      <c r="F19" s="25" t="n">
        <v>3</v>
      </c>
      <c r="G19" s="25" t="inlineStr">
        <is>
          <t>Programi: Master i Shkencave në Teknologji Informacioni ka profilet e mëposhtme:
1. Profili I: Zhvillim Softweresh
2. Profili II: IT e biznesit
3. Profili III: Menaxhim dhe Vlerësim Projektesh
4. Profili IV: Inovacion (Burimi: Master i Shkencave në Teknologji Informacioni, f. 1).</t>
        </is>
      </c>
      <c r="H19" s="25" t="inlineStr">
        <is>
          <t>MSc_-Teknologji-Informacioni.pdf (f. 1) | Msc_-Inxhinieri-Informatike.pdf (f. 1) | MSH-Informatike-Ekonomike-AL.pdf (f. 1)</t>
        </is>
      </c>
      <c r="I19" s="25" t="n">
        <v>2.19</v>
      </c>
      <c r="J19" s="26" t="inlineStr">
        <is>
          <t>E saktë</t>
        </is>
      </c>
      <c r="K19" s="26" t="inlineStr">
        <is>
          <t>jo</t>
        </is>
      </c>
      <c r="L19" s="25" t="n"/>
    </row>
    <row r="20" ht="91" customHeight="1" s="19">
      <c r="A20" s="25" t="n">
        <v>4</v>
      </c>
      <c r="B20" s="25" t="inlineStr">
        <is>
          <t>A</t>
        </is>
      </c>
      <c r="C20" s="25" t="inlineStr">
        <is>
          <t>po</t>
        </is>
      </c>
      <c r="D20" s="25" t="inlineStr">
        <is>
          <t>Cilat janë profilet e Master Shkencor në Teknologji Informacioni?</t>
        </is>
      </c>
      <c r="E20" s="25" t="inlineStr">
        <is>
          <t>Zhvillim Softweresh; IT e biznesit; Menaxhim dhe Vlerësim Projektesh; Inovacion</t>
        </is>
      </c>
      <c r="F20" s="25" t="n">
        <v>4</v>
      </c>
      <c r="G20" s="25" t="inlineStr">
        <is>
          <t>Programi: Master i Shkencave në Teknologji Informacioni ka profilet e mëposhtme:
1. Profili I: 
2. Profili II: 
3. Profili III: 
4. Profili IV: 
Burimi: Master i Shkencave në Teknologji Informacioni.</t>
        </is>
      </c>
      <c r="H20" s="25" t="inlineStr">
        <is>
          <t>MSc_-Teknologji-Informacioni.pdf (f. 1) | Msc_-Inxhinieri-Informatike.pdf (f. 1) | MSH-Informatike-Ekonomike-AL.pdf (f. 1)</t>
        </is>
      </c>
      <c r="I20" s="25" t="n">
        <v>1.5</v>
      </c>
      <c r="J20" s="26" t="inlineStr">
        <is>
          <t>E pasaktë</t>
        </is>
      </c>
      <c r="K20" s="26" t="inlineStr">
        <is>
          <t>jo</t>
        </is>
      </c>
      <c r="L20" s="25" t="inlineStr">
        <is>
          <t>Liston 4 etiketa bosh 'Profili I:' ... 'Profili IV:' pa emrat e profileve. Informacioni thelbësor mungon.</t>
        </is>
      </c>
    </row>
    <row r="21" ht="91" customHeight="1" s="19">
      <c r="A21" s="25" t="n">
        <v>4</v>
      </c>
      <c r="B21" s="25" t="inlineStr">
        <is>
          <t>A</t>
        </is>
      </c>
      <c r="C21" s="25" t="inlineStr">
        <is>
          <t>po</t>
        </is>
      </c>
      <c r="D21" s="25" t="inlineStr">
        <is>
          <t>Cilat janë profilet e Master Shkencor në Teknologji Informacioni?</t>
        </is>
      </c>
      <c r="E21" s="25" t="inlineStr">
        <is>
          <t>Zhvillim Softweresh; IT e biznesit; Menaxhim dhe Vlerësim Projektesh; Inovacion</t>
        </is>
      </c>
      <c r="F21" s="25" t="n">
        <v>5</v>
      </c>
      <c r="G21" s="25" t="inlineStr">
        <is>
          <t>Programi: Master i Shkencave në Teknologji Informacioni ka profilet e mëposhtme:
1. Profili I: 
2. Profili II: 
3. Profili III: 
4. Profili IV: 
Burimi: Master i Shkencave në Teknologji Informacioni.</t>
        </is>
      </c>
      <c r="H21" s="25" t="inlineStr">
        <is>
          <t>MSc_-Teknologji-Informacioni.pdf (f. 1) | Msc_-Inxhinieri-Informatike.pdf (f. 1) | MSH-Informatike-Ekonomike-AL.pdf (f. 1)</t>
        </is>
      </c>
      <c r="I21" s="25" t="n">
        <v>1.49</v>
      </c>
      <c r="J21" s="26" t="inlineStr">
        <is>
          <t>E pasaktë</t>
        </is>
      </c>
      <c r="K21" s="26" t="inlineStr">
        <is>
          <t>jo</t>
        </is>
      </c>
      <c r="L21" s="25" t="inlineStr">
        <is>
          <t>Liston 4 etiketa bosh 'Profili I:' ... 'Profili IV:' pa emrat e profileve. Informacioni thelbësor mungon.</t>
        </is>
      </c>
    </row>
    <row r="22" ht="35.05" customHeight="1" s="19">
      <c r="A22" s="23" t="n">
        <v>5</v>
      </c>
      <c r="B22" s="23" t="inlineStr">
        <is>
          <t>A</t>
        </is>
      </c>
      <c r="C22" s="23" t="inlineStr">
        <is>
          <t>po</t>
        </is>
      </c>
      <c r="D22" s="23" t="inlineStr">
        <is>
          <t>Cilat janë profilet e Master Shkencor në Inxhinieri Informatike?</t>
        </is>
      </c>
      <c r="E22" s="23" t="inlineStr">
        <is>
          <t>Inxhinieri Softwere-sh; Siguria e sistemeve të informacionit; Menaxhim të dhënash; Dizenjim dhe zhvillim aplikimesh</t>
        </is>
      </c>
      <c r="F22" s="23" t="n">
        <v>1</v>
      </c>
      <c r="G22" s="23" t="inlineStr">
        <is>
          <t>(Teksti i përgjigjes së ekzekutimit origjinal nuk është i disponueshëm – vlerësimi është marrë nga Shtojca A.)</t>
        </is>
      </c>
      <c r="H22" s="23" t="n"/>
      <c r="I22" s="23" t="n">
        <v>2.51</v>
      </c>
      <c r="J22" s="24" t="inlineStr">
        <is>
          <t>E saktë</t>
        </is>
      </c>
      <c r="K22" s="24" t="inlineStr">
        <is>
          <t>jo</t>
        </is>
      </c>
      <c r="L22" s="23" t="n"/>
    </row>
    <row r="23" ht="68.65000000000001" customHeight="1" s="19">
      <c r="A23" s="25" t="n">
        <v>5</v>
      </c>
      <c r="B23" s="25" t="inlineStr">
        <is>
          <t>A</t>
        </is>
      </c>
      <c r="C23" s="25" t="inlineStr">
        <is>
          <t>po</t>
        </is>
      </c>
      <c r="D23" s="25" t="inlineStr">
        <is>
          <t>Cilat janë profilet e Master Shkencor në Inxhinieri Informatike?</t>
        </is>
      </c>
      <c r="E23" s="25" t="inlineStr">
        <is>
          <t>Inxhinieri Softwere-sh; Siguria e sistemeve të informacionit; Menaxhim të dhënash; Dizenjim dhe zhvillim aplikimesh</t>
        </is>
      </c>
      <c r="F23" s="25" t="n">
        <v>2</v>
      </c>
      <c r="G23" s="25" t="inlineStr">
        <is>
          <t>Programi: Master i Shkencave në Inxhinieri Informatike ka këto profile:
1. Profili IV: Dizenjim dhe zhvillim aplikimesh
2. Profili I: Inxhinieri Softwere-sh
3. Profili II: Siguria e sistemeve të informacionit
4. Profili III: Menaxhim të dhënash (Master i Shkencave në Inxhinieri Informatike, f. 1).</t>
        </is>
      </c>
      <c r="H23" s="25" t="inlineStr">
        <is>
          <t>Msc_-Inxhinieri-Informatike.pdf (f. 1) | IV_b-INXHINIERI-NDERTIMI_MSH.pdf (f. 1) | IV_c-INXHINIERI-MEKANIKE_MSH.pdf (f. 2)</t>
        </is>
      </c>
      <c r="I23" s="25" t="n">
        <v>2.03</v>
      </c>
      <c r="J23" s="26" t="inlineStr">
        <is>
          <t>E saktë</t>
        </is>
      </c>
      <c r="K23" s="26" t="inlineStr">
        <is>
          <t>jo</t>
        </is>
      </c>
      <c r="L23" s="25" t="n"/>
    </row>
    <row r="24" ht="68.65000000000001" customHeight="1" s="19">
      <c r="A24" s="27" t="n">
        <v>5</v>
      </c>
      <c r="B24" s="27" t="inlineStr">
        <is>
          <t>A</t>
        </is>
      </c>
      <c r="C24" s="27" t="inlineStr">
        <is>
          <t>po</t>
        </is>
      </c>
      <c r="D24" s="27" t="inlineStr">
        <is>
          <t>Cilat janë profilet e Master Shkencor në Inxhinieri Informatike?</t>
        </is>
      </c>
      <c r="E24" s="27" t="inlineStr">
        <is>
          <t>Inxhinieri Softwere-sh; Siguria e sistemeve të informacionit; Menaxhim të dhënash; Dizenjim dhe zhvillim aplikimesh</t>
        </is>
      </c>
      <c r="F24" s="27" t="n">
        <v>3</v>
      </c>
      <c r="G24" s="27" t="inlineStr">
        <is>
          <t>Programi: Master i Shkencave në Inxhinieri Informatike ka këto profile:
1. Profili IV: Dizenjim dhe zhvillim aplikimesh
2. Profili I: Inxhinieri Softwere-sh
3. Profili II: Siguria e sistemeve të informacionit
4. Profili III: Menaxhim të dhënash (Master i Shkencave në Inxhinieri Informatike, f. 1).</t>
        </is>
      </c>
      <c r="H24" s="27" t="inlineStr">
        <is>
          <t>Msc_-Inxhinieri-Informatike.pdf (f. 1) | IV_b-INXHINIERI-NDERTIMI_MSH.pdf (f. 1) | IV_c-INXHINIERI-MEKANIKE_MSH.pdf (f. 2)</t>
        </is>
      </c>
      <c r="I24" s="27" t="n">
        <v>1.68</v>
      </c>
      <c r="J24" s="27">
        <f>J23</f>
        <v/>
      </c>
      <c r="K24" s="27">
        <f>K23</f>
        <v/>
      </c>
      <c r="L24" s="27" t="inlineStr">
        <is>
          <t>Pothuajse identike me ekzekutimin 2</t>
        </is>
      </c>
    </row>
    <row r="25" ht="68.65000000000001" customHeight="1" s="19">
      <c r="A25" s="27" t="n">
        <v>5</v>
      </c>
      <c r="B25" s="27" t="inlineStr">
        <is>
          <t>A</t>
        </is>
      </c>
      <c r="C25" s="27" t="inlineStr">
        <is>
          <t>po</t>
        </is>
      </c>
      <c r="D25" s="27" t="inlineStr">
        <is>
          <t>Cilat janë profilet e Master Shkencor në Inxhinieri Informatike?</t>
        </is>
      </c>
      <c r="E25" s="27" t="inlineStr">
        <is>
          <t>Inxhinieri Softwere-sh; Siguria e sistemeve të informacionit; Menaxhim të dhënash; Dizenjim dhe zhvillim aplikimesh</t>
        </is>
      </c>
      <c r="F25" s="27" t="n">
        <v>4</v>
      </c>
      <c r="G25" s="27" t="inlineStr">
        <is>
          <t>Programi: Master i Shkencave në Inxhinieri Informatike ka këto profile:
1. Profili IV: Dizenjim dhe zhvillim aplikimesh
2. Profili I: Inxhinieri Softwere-sh
3. Profili II: Siguria e sistemeve të informacionit
4. Profili III: Menaxhim të dhënash (Master i Shkencave në Inxhinieri Informatike, f. 1).</t>
        </is>
      </c>
      <c r="H25" s="27" t="inlineStr">
        <is>
          <t>Msc_-Inxhinieri-Informatike.pdf (f. 1) | IV_b-INXHINIERI-NDERTIMI_MSH.pdf (f. 1) | IV_c-INXHINIERI-MEKANIKE_MSH.pdf (f. 2)</t>
        </is>
      </c>
      <c r="I25" s="27" t="n">
        <v>2.09</v>
      </c>
      <c r="J25" s="27">
        <f>J23</f>
        <v/>
      </c>
      <c r="K25" s="27">
        <f>K23</f>
        <v/>
      </c>
      <c r="L25" s="27" t="inlineStr">
        <is>
          <t>Pothuajse identike me ekzekutimin 2</t>
        </is>
      </c>
    </row>
    <row r="26" ht="68.65000000000001" customHeight="1" s="19">
      <c r="A26" s="27" t="n">
        <v>5</v>
      </c>
      <c r="B26" s="27" t="inlineStr">
        <is>
          <t>A</t>
        </is>
      </c>
      <c r="C26" s="27" t="inlineStr">
        <is>
          <t>po</t>
        </is>
      </c>
      <c r="D26" s="27" t="inlineStr">
        <is>
          <t>Cilat janë profilet e Master Shkencor në Inxhinieri Informatike?</t>
        </is>
      </c>
      <c r="E26" s="27" t="inlineStr">
        <is>
          <t>Inxhinieri Softwere-sh; Siguria e sistemeve të informacionit; Menaxhim të dhënash; Dizenjim dhe zhvillim aplikimesh</t>
        </is>
      </c>
      <c r="F26" s="27" t="n">
        <v>5</v>
      </c>
      <c r="G26" s="27" t="inlineStr">
        <is>
          <t>Programi: Master i Shkencave në Inxhinieri Informatike ka këta profile:
1. Profili IV: Dizenjim dhe zhvillim aplikimesh
2. Profili I: Inxhinieri Softwere-sh
3. Profili II: Siguria e sistemeve të informacionit
4. Profili III: Menaxhim të dhënash (Master i Shkencave në Inxhinieri Informatike, f. 1).</t>
        </is>
      </c>
      <c r="H26" s="27" t="inlineStr">
        <is>
          <t>Msc_-Inxhinieri-Informatike.pdf (f. 1) | IV_b-INXHINIERI-NDERTIMI_MSH.pdf (f. 1) | IV_c-INXHINIERI-MEKANIKE_MSH.pdf (f. 2)</t>
        </is>
      </c>
      <c r="I26" s="27" t="n">
        <v>1.7</v>
      </c>
      <c r="J26" s="27">
        <f>J23</f>
        <v/>
      </c>
      <c r="K26" s="27">
        <f>K23</f>
        <v/>
      </c>
      <c r="L26" s="27" t="inlineStr">
        <is>
          <t>Pothuajse identike me ekzekutimin 2</t>
        </is>
      </c>
    </row>
    <row r="27" ht="35.05" customHeight="1" s="19">
      <c r="A27" s="23" t="n">
        <v>6</v>
      </c>
      <c r="B27" s="23" t="inlineStr">
        <is>
          <t>A</t>
        </is>
      </c>
      <c r="C27" s="23" t="inlineStr">
        <is>
          <t>po</t>
        </is>
      </c>
      <c r="D27" s="23" t="inlineStr">
        <is>
          <t>Sa ECTS ka lënda Inteligjenca artificiale në Master Inxhinieri Informatike?</t>
        </is>
      </c>
      <c r="E27" s="23" t="inlineStr">
        <is>
          <t>6 ECTS; viti II; semestri 1</t>
        </is>
      </c>
      <c r="F27" s="23" t="n">
        <v>1</v>
      </c>
      <c r="G27" s="23" t="inlineStr">
        <is>
          <t>(Teksti i përgjigjes së ekzekutimit origjinal nuk është i disponueshëm – vlerësimi është marrë nga Shtojca A.)</t>
        </is>
      </c>
      <c r="H27" s="23" t="n"/>
      <c r="I27" s="23" t="n">
        <v>1.69</v>
      </c>
      <c r="J27" s="24" t="inlineStr">
        <is>
          <t>E saktë</t>
        </is>
      </c>
      <c r="K27" s="24" t="inlineStr">
        <is>
          <t>jo</t>
        </is>
      </c>
      <c r="L27" s="23" t="n"/>
    </row>
    <row r="28" ht="57.45" customHeight="1" s="19">
      <c r="A28" s="25" t="n">
        <v>6</v>
      </c>
      <c r="B28" s="25" t="inlineStr">
        <is>
          <t>A</t>
        </is>
      </c>
      <c r="C28" s="25" t="inlineStr">
        <is>
          <t>po</t>
        </is>
      </c>
      <c r="D28" s="25" t="inlineStr">
        <is>
          <t>Sa ECTS ka lënda Inteligjenca artificiale në Master Inxhinieri Informatike?</t>
        </is>
      </c>
      <c r="E28" s="25" t="inlineStr">
        <is>
          <t>6 ECTS; viti II; semestri 1</t>
        </is>
      </c>
      <c r="F28" s="25" t="n">
        <v>2</v>
      </c>
      <c r="G28" s="25" t="inlineStr">
        <is>
          <t>Lënda "Inteligjenca artificiale" në programin Master i Shkencave në Inxhinieri Informatike ka 6 ECTS (Burimi: Master i Shkencave në Inxhinieri Informatike, f. 1).</t>
        </is>
      </c>
      <c r="H28" s="25" t="inlineStr">
        <is>
          <t>Msc_-Inxhinieri-Informatike.pdf (f. 1) | MSc_-Teknologji-Informacioni.pdf (f. 1) | MSH-Informatike-Ekonomike-AL.pdf (f. 2)</t>
        </is>
      </c>
      <c r="I28" s="25" t="n">
        <v>2.06</v>
      </c>
      <c r="J28" s="26" t="inlineStr">
        <is>
          <t>E saktë</t>
        </is>
      </c>
      <c r="K28" s="26" t="inlineStr">
        <is>
          <t>jo</t>
        </is>
      </c>
      <c r="L28" s="25" t="n"/>
    </row>
    <row r="29" ht="57.45" customHeight="1" s="19">
      <c r="A29" s="27" t="n">
        <v>6</v>
      </c>
      <c r="B29" s="27" t="inlineStr">
        <is>
          <t>A</t>
        </is>
      </c>
      <c r="C29" s="27" t="inlineStr">
        <is>
          <t>po</t>
        </is>
      </c>
      <c r="D29" s="27" t="inlineStr">
        <is>
          <t>Sa ECTS ka lënda Inteligjenca artificiale në Master Inxhinieri Informatike?</t>
        </is>
      </c>
      <c r="E29" s="27" t="inlineStr">
        <is>
          <t>6 ECTS; viti II; semestri 1</t>
        </is>
      </c>
      <c r="F29" s="27" t="n">
        <v>3</v>
      </c>
      <c r="G29" s="27" t="inlineStr">
        <is>
          <t>Lënda Inteligjenca artificiale në Masterin e Shkencave në Inxhinieri Informatike ka 6 ECTS (Master i Shkencave në Inxhinieri Informatike, f. 1).</t>
        </is>
      </c>
      <c r="H29" s="27" t="inlineStr">
        <is>
          <t>Msc_-Inxhinieri-Informatike.pdf (f. 1) | MSc_-Teknologji-Informacioni.pdf (f. 1) | MSH-Informatike-Ekonomike-AL.pdf (f. 2)</t>
        </is>
      </c>
      <c r="I29" s="27" t="n">
        <v>1.22</v>
      </c>
      <c r="J29" s="27">
        <f>J28</f>
        <v/>
      </c>
      <c r="K29" s="27">
        <f>K28</f>
        <v/>
      </c>
      <c r="L29" s="27" t="inlineStr">
        <is>
          <t>Pothuajse identike me ekzekutimin 2</t>
        </is>
      </c>
    </row>
    <row r="30" ht="57.45" customHeight="1" s="19">
      <c r="A30" s="27" t="n">
        <v>6</v>
      </c>
      <c r="B30" s="27" t="inlineStr">
        <is>
          <t>A</t>
        </is>
      </c>
      <c r="C30" s="27" t="inlineStr">
        <is>
          <t>po</t>
        </is>
      </c>
      <c r="D30" s="27" t="inlineStr">
        <is>
          <t>Sa ECTS ka lënda Inteligjenca artificiale në Master Inxhinieri Informatike?</t>
        </is>
      </c>
      <c r="E30" s="27" t="inlineStr">
        <is>
          <t>6 ECTS; viti II; semestri 1</t>
        </is>
      </c>
      <c r="F30" s="27" t="n">
        <v>4</v>
      </c>
      <c r="G30" s="27" t="inlineStr">
        <is>
          <t>Lënda Inteligjenca artificiale në Masterin e Shkencave në Inxhinieri Informatike ka 6 ECTS (Master i Shkencave në Inxhinieri Informatike, f. 1).</t>
        </is>
      </c>
      <c r="H30" s="27" t="inlineStr">
        <is>
          <t>Msc_-Inxhinieri-Informatike.pdf (f. 1) | MSc_-Teknologji-Informacioni.pdf (f. 1) | MSH-Informatike-Ekonomike-AL.pdf (f. 2)</t>
        </is>
      </c>
      <c r="I30" s="27" t="n">
        <v>1.28</v>
      </c>
      <c r="J30" s="27">
        <f>J28</f>
        <v/>
      </c>
      <c r="K30" s="27">
        <f>K28</f>
        <v/>
      </c>
      <c r="L30" s="27" t="inlineStr">
        <is>
          <t>Pothuajse identike me ekzekutimin 2</t>
        </is>
      </c>
    </row>
    <row r="31" ht="57.45" customHeight="1" s="19">
      <c r="A31" s="27" t="n">
        <v>6</v>
      </c>
      <c r="B31" s="27" t="inlineStr">
        <is>
          <t>A</t>
        </is>
      </c>
      <c r="C31" s="27" t="inlineStr">
        <is>
          <t>po</t>
        </is>
      </c>
      <c r="D31" s="27" t="inlineStr">
        <is>
          <t>Sa ECTS ka lënda Inteligjenca artificiale në Master Inxhinieri Informatike?</t>
        </is>
      </c>
      <c r="E31" s="27" t="inlineStr">
        <is>
          <t>6 ECTS; viti II; semestri 1</t>
        </is>
      </c>
      <c r="F31" s="27" t="n">
        <v>5</v>
      </c>
      <c r="G31" s="27" t="inlineStr">
        <is>
          <t>Lënda Inteligjenca artificiale në Masterin e Shkencave në Inxhinieri Informatike ka 6 ECTS (Master i Shkencave në Inxhinieri Informatike, f. 1).</t>
        </is>
      </c>
      <c r="H31" s="27" t="inlineStr">
        <is>
          <t>Msc_-Inxhinieri-Informatike.pdf (f. 1) | MSc_-Teknologji-Informacioni.pdf (f. 1) | MSH-Informatike-Ekonomike-AL.pdf (f. 2)</t>
        </is>
      </c>
      <c r="I31" s="27" t="n">
        <v>1.27</v>
      </c>
      <c r="J31" s="27">
        <f>J28</f>
        <v/>
      </c>
      <c r="K31" s="27">
        <f>K28</f>
        <v/>
      </c>
      <c r="L31" s="27" t="inlineStr">
        <is>
          <t>Pothuajse identike me ekzekutimin 2</t>
        </is>
      </c>
    </row>
    <row r="32" ht="35.05" customHeight="1" s="19">
      <c r="A32" s="23" t="n">
        <v>7</v>
      </c>
      <c r="B32" s="23" t="inlineStr">
        <is>
          <t>A</t>
        </is>
      </c>
      <c r="C32" s="23" t="inlineStr">
        <is>
          <t>po</t>
        </is>
      </c>
      <c r="D32" s="23" t="inlineStr">
        <is>
          <t>Në cilin vit dhe semestër jepet Metoda kërkimi në inxhinieri te Master Inxhinieri Ndërtimi?</t>
        </is>
      </c>
      <c r="E32" s="23" t="inlineStr">
        <is>
          <t>Viti II; semestri 1 (6 ECTS)</t>
        </is>
      </c>
      <c r="F32" s="23" t="n">
        <v>1</v>
      </c>
      <c r="G32" s="23" t="inlineStr">
        <is>
          <t>(Teksti i përgjigjes së ekzekutimit origjinal nuk është i disponueshëm – vlerësimi është marrë nga Shtojca A.)</t>
        </is>
      </c>
      <c r="H32" s="23" t="n"/>
      <c r="I32" s="23" t="n">
        <v>1.33</v>
      </c>
      <c r="J32" s="24" t="inlineStr">
        <is>
          <t>E pasaktë</t>
        </is>
      </c>
      <c r="K32" s="24" t="inlineStr">
        <is>
          <t>jo</t>
        </is>
      </c>
      <c r="L32" s="23" t="n"/>
    </row>
    <row r="33" ht="68.65000000000001" customHeight="1" s="19">
      <c r="A33" s="25" t="n">
        <v>7</v>
      </c>
      <c r="B33" s="25" t="inlineStr">
        <is>
          <t>A</t>
        </is>
      </c>
      <c r="C33" s="25" t="inlineStr">
        <is>
          <t>po</t>
        </is>
      </c>
      <c r="D33" s="25" t="inlineStr">
        <is>
          <t>Në cilin vit dhe semestër jepet Metoda kërkimi në inxhinieri te Master Inxhinieri Ndërtimi?</t>
        </is>
      </c>
      <c r="E33" s="25" t="inlineStr">
        <is>
          <t>Viti II; semestri 1 (6 ECTS)</t>
        </is>
      </c>
      <c r="F33" s="25" t="n">
        <v>2</v>
      </c>
      <c r="G33" s="25" t="inlineStr">
        <is>
          <t>Nuk e gjej këtë informacion në dokumentet e disponueshme. Të lutem kontakto administratën e UET-së për detaje të tilla.</t>
        </is>
      </c>
      <c r="H33" s="25" t="inlineStr">
        <is>
          <t>IV_b-INXHINIERI-NDERTIMI_MSH.pdf (f. 2) | IV_c-INXHINIERI-MEKANIKE_MSH.pdf (f. 3, 1) | IV_c-INXHINIERI-ELEKTRIKE_MSH-2.pdf (f. 1)</t>
        </is>
      </c>
      <c r="I33" s="25" t="n">
        <v>1.53</v>
      </c>
      <c r="J33" s="26" t="inlineStr">
        <is>
          <t>E pasaktë</t>
        </is>
      </c>
      <c r="K33" s="26" t="inlineStr">
        <is>
          <t>jo</t>
        </is>
      </c>
      <c r="L33" s="25" t="inlineStr">
        <is>
          <t>Refuzim i gabuar: informacioni gjendet te dokumenti i Inxhinieri Ndërtimi (Viti II, semestri 1).</t>
        </is>
      </c>
    </row>
    <row r="34" ht="68.65000000000001" customHeight="1" s="19">
      <c r="A34" s="25" t="n">
        <v>7</v>
      </c>
      <c r="B34" s="25" t="inlineStr">
        <is>
          <t>A</t>
        </is>
      </c>
      <c r="C34" s="25" t="inlineStr">
        <is>
          <t>po</t>
        </is>
      </c>
      <c r="D34" s="25" t="inlineStr">
        <is>
          <t>Në cilin vit dhe semestër jepet Metoda kërkimi në inxhinieri te Master Inxhinieri Ndërtimi?</t>
        </is>
      </c>
      <c r="E34" s="25" t="inlineStr">
        <is>
          <t>Viti II; semestri 1 (6 ECTS)</t>
        </is>
      </c>
      <c r="F34" s="25" t="n">
        <v>3</v>
      </c>
      <c r="G34" s="25" t="inlineStr">
        <is>
          <t>Nuk e gjej këtë informacion në dokumentet e disponueshme. Të lutem, kontakto administratën e UET-së për detaje të tilla.</t>
        </is>
      </c>
      <c r="H34" s="25" t="inlineStr">
        <is>
          <t>IV_b-INXHINIERI-NDERTIMI_MSH.pdf (f. 2) | IV_c-INXHINIERI-MEKANIKE_MSH.pdf (f. 3, 1) | IV_c-INXHINIERI-ELEKTRIKE_MSH-2.pdf (f. 1)</t>
        </is>
      </c>
      <c r="I34" s="25" t="n">
        <v>1.44</v>
      </c>
      <c r="J34" s="26" t="inlineStr">
        <is>
          <t>E pasaktë</t>
        </is>
      </c>
      <c r="K34" s="26" t="inlineStr">
        <is>
          <t>jo</t>
        </is>
      </c>
      <c r="L34" s="25" t="inlineStr">
        <is>
          <t>Refuzim i gabuar: informacioni gjendet te dokumenti i Inxhinieri Ndërtimi (Viti II, semestri 1).</t>
        </is>
      </c>
    </row>
    <row r="35" ht="68.65000000000001" customHeight="1" s="19">
      <c r="A35" s="25" t="n">
        <v>7</v>
      </c>
      <c r="B35" s="25" t="inlineStr">
        <is>
          <t>A</t>
        </is>
      </c>
      <c r="C35" s="25" t="inlineStr">
        <is>
          <t>po</t>
        </is>
      </c>
      <c r="D35" s="25" t="inlineStr">
        <is>
          <t>Në cilin vit dhe semestër jepet Metoda kërkimi në inxhinieri te Master Inxhinieri Ndërtimi?</t>
        </is>
      </c>
      <c r="E35" s="25" t="inlineStr">
        <is>
          <t>Viti II; semestri 1 (6 ECTS)</t>
        </is>
      </c>
      <c r="F35" s="25" t="n">
        <v>4</v>
      </c>
      <c r="G35" s="25" t="inlineStr">
        <is>
          <t>Nuk e gjej këtë informacion në dokumentet e disponueshme. Të lutem, kontakto administratën e UET-së për detaje të sakta rreth vitit dhe semestrit të lëndës "Metoda kërkimi në inxhinieri" te Masteri i Shkencave në Inxhinieri Ndërtimi.</t>
        </is>
      </c>
      <c r="H35" s="25" t="inlineStr">
        <is>
          <t>IV_b-INXHINIERI-NDERTIMI_MSH.pdf (f. 2) | IV_c-INXHINIERI-MEKANIKE_MSH.pdf (f. 3, 1) | IV_c-INXHINIERI-ELEKTRIKE_MSH-2.pdf (f. 1)</t>
        </is>
      </c>
      <c r="I35" s="25" t="n">
        <v>1.59</v>
      </c>
      <c r="J35" s="26" t="inlineStr">
        <is>
          <t>E pasaktë</t>
        </is>
      </c>
      <c r="K35" s="26" t="inlineStr">
        <is>
          <t>jo</t>
        </is>
      </c>
      <c r="L35" s="25" t="inlineStr">
        <is>
          <t>Refuzim i gabuar: informacioni gjendet te dokumenti i Inxhinieri Ndërtimi (Viti II, semestri 1).</t>
        </is>
      </c>
    </row>
    <row r="36" ht="68.65000000000001" customHeight="1" s="19">
      <c r="A36" s="25" t="n">
        <v>7</v>
      </c>
      <c r="B36" s="25" t="inlineStr">
        <is>
          <t>A</t>
        </is>
      </c>
      <c r="C36" s="25" t="inlineStr">
        <is>
          <t>po</t>
        </is>
      </c>
      <c r="D36" s="25" t="inlineStr">
        <is>
          <t>Në cilin vit dhe semestër jepet Metoda kërkimi në inxhinieri te Master Inxhinieri Ndërtimi?</t>
        </is>
      </c>
      <c r="E36" s="25" t="inlineStr">
        <is>
          <t>Viti II; semestri 1 (6 ECTS)</t>
        </is>
      </c>
      <c r="F36" s="25" t="n">
        <v>5</v>
      </c>
      <c r="G36" s="25" t="inlineStr">
        <is>
          <t>Nuk e gjej këtë informacion në dokumentet e disponueshme. Të lutem kontakto administratën e UET-së për detaje të sakta rreth vitit dhe semestrit të lëndës "Metoda kërkimi në inxhinieri" në programin e Masterit në Inxhinieri Ndërtimi.</t>
        </is>
      </c>
      <c r="H36" s="25" t="inlineStr">
        <is>
          <t>IV_b-INXHINIERI-NDERTIMI_MSH.pdf (f. 2) | IV_c-INXHINIERI-MEKANIKE_MSH.pdf (f. 3, 1) | IV_c-INXHINIERI-ELEKTRIKE_MSH-2.pdf (f. 1)</t>
        </is>
      </c>
      <c r="I36" s="25" t="n">
        <v>1.54</v>
      </c>
      <c r="J36" s="26" t="inlineStr">
        <is>
          <t>E pasaktë</t>
        </is>
      </c>
      <c r="K36" s="26" t="inlineStr">
        <is>
          <t>jo</t>
        </is>
      </c>
      <c r="L36" s="25" t="inlineStr">
        <is>
          <t>Refuzim i gabuar: informacioni gjendet te dokumenti i Inxhinieri Ndërtimi (Viti II, semestri 1).</t>
        </is>
      </c>
    </row>
    <row r="37" ht="35.05" customHeight="1" s="19">
      <c r="A37" s="23" t="n">
        <v>8</v>
      </c>
      <c r="B37" s="23" t="inlineStr">
        <is>
          <t>A</t>
        </is>
      </c>
      <c r="C37" s="23" t="inlineStr">
        <is>
          <t>po</t>
        </is>
      </c>
      <c r="D37" s="23" t="inlineStr">
        <is>
          <t>Në cilin vit dhe semestër jepet Metoda kërkimi në inxhinieri te Master Inxhinieri Informatike?</t>
        </is>
      </c>
      <c r="E37" s="23" t="inlineStr">
        <is>
          <t>Viti I; semestri 1 (6 ECTS)</t>
        </is>
      </c>
      <c r="F37" s="23" t="n">
        <v>1</v>
      </c>
      <c r="G37" s="23" t="inlineStr">
        <is>
          <t>(Teksti i përgjigjes së ekzekutimit origjinal nuk është i disponueshëm – vlerësimi është marrë nga Shtojca A.)</t>
        </is>
      </c>
      <c r="H37" s="23" t="n"/>
      <c r="I37" s="23" t="n">
        <v>1.38</v>
      </c>
      <c r="J37" s="24" t="inlineStr">
        <is>
          <t>E saktë</t>
        </is>
      </c>
      <c r="K37" s="24" t="inlineStr">
        <is>
          <t>jo</t>
        </is>
      </c>
      <c r="L37" s="23" t="n"/>
    </row>
    <row r="38" ht="46.25" customHeight="1" s="19">
      <c r="A38" s="25" t="n">
        <v>8</v>
      </c>
      <c r="B38" s="25" t="inlineStr">
        <is>
          <t>A</t>
        </is>
      </c>
      <c r="C38" s="25" t="inlineStr">
        <is>
          <t>po</t>
        </is>
      </c>
      <c r="D38" s="25" t="inlineStr">
        <is>
          <t>Në cilin vit dhe semestër jepet Metoda kërkimi në inxhinieri te Master Inxhinieri Informatike?</t>
        </is>
      </c>
      <c r="E38" s="25" t="inlineStr">
        <is>
          <t>Viti I; semestri 1 (6 ECTS)</t>
        </is>
      </c>
      <c r="F38" s="25" t="n">
        <v>2</v>
      </c>
      <c r="G38" s="25" t="inlineStr">
        <is>
          <t>Lënda "Metoda kërkimi në inxhinieri" jepet në vitin I, semestrin 1 te Masteri i Shkencave në Inxhinieri Informatike (Master i Shkencave në Inxhinieri Informatike, f. 1).</t>
        </is>
      </c>
      <c r="H38" s="25" t="inlineStr">
        <is>
          <t>Msc_-Inxhinieri-Informatike.pdf (f. 1) | IV_c-INXHINIERI-MEKANIKE_MSH.pdf (f. 2, 3)</t>
        </is>
      </c>
      <c r="I38" s="25" t="n">
        <v>1.43</v>
      </c>
      <c r="J38" s="26" t="inlineStr">
        <is>
          <t>E saktë</t>
        </is>
      </c>
      <c r="K38" s="26" t="inlineStr">
        <is>
          <t>jo</t>
        </is>
      </c>
      <c r="L38" s="25" t="n"/>
    </row>
    <row r="39" ht="46.25" customHeight="1" s="19">
      <c r="A39" s="25" t="n">
        <v>8</v>
      </c>
      <c r="B39" s="25" t="inlineStr">
        <is>
          <t>A</t>
        </is>
      </c>
      <c r="C39" s="25" t="inlineStr">
        <is>
          <t>po</t>
        </is>
      </c>
      <c r="D39" s="25" t="inlineStr">
        <is>
          <t>Në cilin vit dhe semestër jepet Metoda kërkimi në inxhinieri te Master Inxhinieri Informatike?</t>
        </is>
      </c>
      <c r="E39" s="25" t="inlineStr">
        <is>
          <t>Viti I; semestri 1 (6 ECTS)</t>
        </is>
      </c>
      <c r="F39" s="25" t="n">
        <v>3</v>
      </c>
      <c r="G39" s="25" t="inlineStr">
        <is>
          <t>Lënda "Metoda kërkimi në inxhinieri" në programin Master i Shkencave në Inxhinieri Informatike jepet në vitin I, semestrin 1 (Master i Shkencave në Inxhinieri Informatike, f. 1).</t>
        </is>
      </c>
      <c r="H39" s="25" t="inlineStr">
        <is>
          <t>Msc_-Inxhinieri-Informatike.pdf (f. 1) | IV_c-INXHINIERI-MEKANIKE_MSH.pdf (f. 2, 3)</t>
        </is>
      </c>
      <c r="I39" s="25" t="n">
        <v>1.61</v>
      </c>
      <c r="J39" s="26" t="inlineStr">
        <is>
          <t>E saktë</t>
        </is>
      </c>
      <c r="K39" s="26" t="inlineStr">
        <is>
          <t>jo</t>
        </is>
      </c>
      <c r="L39" s="25" t="n"/>
    </row>
    <row r="40" ht="46.25" customHeight="1" s="19">
      <c r="A40" s="25" t="n">
        <v>8</v>
      </c>
      <c r="B40" s="25" t="inlineStr">
        <is>
          <t>A</t>
        </is>
      </c>
      <c r="C40" s="25" t="inlineStr">
        <is>
          <t>po</t>
        </is>
      </c>
      <c r="D40" s="25" t="inlineStr">
        <is>
          <t>Në cilin vit dhe semestër jepet Metoda kërkimi në inxhinieri te Master Inxhinieri Informatike?</t>
        </is>
      </c>
      <c r="E40" s="25" t="inlineStr">
        <is>
          <t>Viti I; semestri 1 (6 ECTS)</t>
        </is>
      </c>
      <c r="F40" s="25" t="n">
        <v>4</v>
      </c>
      <c r="G40" s="25" t="inlineStr">
        <is>
          <t>Metoda kërkimi në inxhinieri jepet në vitin I, semestrin 1 te Masteri i Shkencave në Inxhinieri Informatike (Master i Shkencave në Inxhinieri Informatike, f. 1).</t>
        </is>
      </c>
      <c r="H40" s="25" t="inlineStr">
        <is>
          <t>Msc_-Inxhinieri-Informatike.pdf (f. 1) | IV_c-INXHINIERI-MEKANIKE_MSH.pdf (f. 2, 3)</t>
        </is>
      </c>
      <c r="I40" s="25" t="n">
        <v>1.4</v>
      </c>
      <c r="J40" s="26" t="inlineStr">
        <is>
          <t>E saktë</t>
        </is>
      </c>
      <c r="K40" s="26" t="inlineStr">
        <is>
          <t>jo</t>
        </is>
      </c>
      <c r="L40" s="25" t="n"/>
    </row>
    <row r="41" ht="46.25" customHeight="1" s="19">
      <c r="A41" s="25" t="n">
        <v>8</v>
      </c>
      <c r="B41" s="25" t="inlineStr">
        <is>
          <t>A</t>
        </is>
      </c>
      <c r="C41" s="25" t="inlineStr">
        <is>
          <t>po</t>
        </is>
      </c>
      <c r="D41" s="25" t="inlineStr">
        <is>
          <t>Në cilin vit dhe semestër jepet Metoda kërkimi në inxhinieri te Master Inxhinieri Informatike?</t>
        </is>
      </c>
      <c r="E41" s="25" t="inlineStr">
        <is>
          <t>Viti I; semestri 1 (6 ECTS)</t>
        </is>
      </c>
      <c r="F41" s="25" t="n">
        <v>5</v>
      </c>
      <c r="G41" s="25" t="inlineStr">
        <is>
          <t>Lënda "Metoda kërkimi në inxhinieri" në programin Master i Shkencave në Inxhinieri Informatike jepet në vitin I, semestrin 1 (Master i Shkencave në Inxhinieri Informatike, f. 1).</t>
        </is>
      </c>
      <c r="H41" s="25" t="inlineStr">
        <is>
          <t>Msc_-Inxhinieri-Informatike.pdf (f. 1) | IV_c-INXHINIERI-MEKANIKE_MSH.pdf (f. 2, 3)</t>
        </is>
      </c>
      <c r="I41" s="25" t="n">
        <v>1.87</v>
      </c>
      <c r="J41" s="26" t="inlineStr">
        <is>
          <t>E saktë</t>
        </is>
      </c>
      <c r="K41" s="26" t="inlineStr">
        <is>
          <t>jo</t>
        </is>
      </c>
      <c r="L41" s="25" t="n"/>
    </row>
    <row r="42" ht="23.85" customHeight="1" s="19">
      <c r="A42" s="23" t="n">
        <v>9</v>
      </c>
      <c r="B42" s="23" t="inlineStr">
        <is>
          <t>A</t>
        </is>
      </c>
      <c r="C42" s="23" t="inlineStr">
        <is>
          <t>po</t>
        </is>
      </c>
      <c r="D42" s="23" t="inlineStr">
        <is>
          <t>Sa ECTS ka Punimi i diplomës te Master Inxhinieri Elektrike?</t>
        </is>
      </c>
      <c r="E42" s="23" t="inlineStr">
        <is>
          <t>24 ECTS</t>
        </is>
      </c>
      <c r="F42" s="23" t="n">
        <v>1</v>
      </c>
      <c r="G42" s="23" t="inlineStr">
        <is>
          <t>(Teksti i përgjigjes së ekzekutimit origjinal nuk është i disponueshëm – vlerësimi është marrë nga Shtojca A.)</t>
        </is>
      </c>
      <c r="H42" s="23" t="n"/>
      <c r="I42" s="23" t="n">
        <v>1.49</v>
      </c>
      <c r="J42" s="24" t="inlineStr">
        <is>
          <t>E saktë</t>
        </is>
      </c>
      <c r="K42" s="24" t="inlineStr">
        <is>
          <t>jo</t>
        </is>
      </c>
      <c r="L42" s="23" t="n"/>
    </row>
    <row r="43" ht="35.05" customHeight="1" s="19">
      <c r="A43" s="25" t="n">
        <v>9</v>
      </c>
      <c r="B43" s="25" t="inlineStr">
        <is>
          <t>A</t>
        </is>
      </c>
      <c r="C43" s="25" t="inlineStr">
        <is>
          <t>po</t>
        </is>
      </c>
      <c r="D43" s="25" t="inlineStr">
        <is>
          <t>Sa ECTS ka Punimi i diplomës te Master Inxhinieri Elektrike?</t>
        </is>
      </c>
      <c r="E43" s="25" t="inlineStr">
        <is>
          <t>24 ECTS</t>
        </is>
      </c>
      <c r="F43" s="25" t="n">
        <v>2</v>
      </c>
      <c r="G43" s="25" t="inlineStr">
        <is>
          <t>Punimi i diplomës te Master i Shkencave në Inxhinieri Elektrike ka 24 ECTS (Master i Shkencave në Inxhinieri Elektrike, f. 4).</t>
        </is>
      </c>
      <c r="H43" s="25" t="inlineStr">
        <is>
          <t>IV_c-INXHINIERI-ELEKTRIKE_MSH-2.pdf (f. 1, 3, 4)</t>
        </is>
      </c>
      <c r="I43" s="25" t="n">
        <v>1.33</v>
      </c>
      <c r="J43" s="26" t="inlineStr">
        <is>
          <t>E saktë</t>
        </is>
      </c>
      <c r="K43" s="26" t="inlineStr">
        <is>
          <t>jo</t>
        </is>
      </c>
      <c r="L43" s="25" t="n"/>
    </row>
    <row r="44" ht="35.05" customHeight="1" s="19">
      <c r="A44" s="27" t="n">
        <v>9</v>
      </c>
      <c r="B44" s="27" t="inlineStr">
        <is>
          <t>A</t>
        </is>
      </c>
      <c r="C44" s="27" t="inlineStr">
        <is>
          <t>po</t>
        </is>
      </c>
      <c r="D44" s="27" t="inlineStr">
        <is>
          <t>Sa ECTS ka Punimi i diplomës te Master Inxhinieri Elektrike?</t>
        </is>
      </c>
      <c r="E44" s="27" t="inlineStr">
        <is>
          <t>24 ECTS</t>
        </is>
      </c>
      <c r="F44" s="27" t="n">
        <v>3</v>
      </c>
      <c r="G44" s="27" t="inlineStr">
        <is>
          <t>Punimi i diplomës te Master i Shkencave në Inxhinieri Elektrike ka 24 ECTS (Master i Shkencave në Inxhinieri Elektrike, f. 4).</t>
        </is>
      </c>
      <c r="H44" s="27" t="inlineStr">
        <is>
          <t>IV_c-INXHINIERI-ELEKTRIKE_MSH-2.pdf (f. 1, 3, 4)</t>
        </is>
      </c>
      <c r="I44" s="27" t="n">
        <v>1.25</v>
      </c>
      <c r="J44" s="27">
        <f>J43</f>
        <v/>
      </c>
      <c r="K44" s="27">
        <f>K43</f>
        <v/>
      </c>
      <c r="L44" s="27" t="inlineStr">
        <is>
          <t>Pothuajse identike me ekzekutimin 2</t>
        </is>
      </c>
    </row>
    <row r="45" ht="35.05" customHeight="1" s="19">
      <c r="A45" s="27" t="n">
        <v>9</v>
      </c>
      <c r="B45" s="27" t="inlineStr">
        <is>
          <t>A</t>
        </is>
      </c>
      <c r="C45" s="27" t="inlineStr">
        <is>
          <t>po</t>
        </is>
      </c>
      <c r="D45" s="27" t="inlineStr">
        <is>
          <t>Sa ECTS ka Punimi i diplomës te Master Inxhinieri Elektrike?</t>
        </is>
      </c>
      <c r="E45" s="27" t="inlineStr">
        <is>
          <t>24 ECTS</t>
        </is>
      </c>
      <c r="F45" s="27" t="n">
        <v>4</v>
      </c>
      <c r="G45" s="27" t="inlineStr">
        <is>
          <t>Punimi i diplomës te Master i Shkencave në Inxhinieri Elektrike ka 24 ECTS (Master i Shkencave në Inxhinieri Elektrike, f. 4).</t>
        </is>
      </c>
      <c r="H45" s="27" t="inlineStr">
        <is>
          <t>IV_c-INXHINIERI-ELEKTRIKE_MSH-2.pdf (f. 1, 3, 4)</t>
        </is>
      </c>
      <c r="I45" s="27" t="n">
        <v>1.36</v>
      </c>
      <c r="J45" s="27">
        <f>J43</f>
        <v/>
      </c>
      <c r="K45" s="27">
        <f>K43</f>
        <v/>
      </c>
      <c r="L45" s="27" t="inlineStr">
        <is>
          <t>Pothuajse identike me ekzekutimin 2</t>
        </is>
      </c>
    </row>
    <row r="46" ht="35.05" customHeight="1" s="19">
      <c r="A46" s="27" t="n">
        <v>9</v>
      </c>
      <c r="B46" s="27" t="inlineStr">
        <is>
          <t>A</t>
        </is>
      </c>
      <c r="C46" s="27" t="inlineStr">
        <is>
          <t>po</t>
        </is>
      </c>
      <c r="D46" s="27" t="inlineStr">
        <is>
          <t>Sa ECTS ka Punimi i diplomës te Master Inxhinieri Elektrike?</t>
        </is>
      </c>
      <c r="E46" s="27" t="inlineStr">
        <is>
          <t>24 ECTS</t>
        </is>
      </c>
      <c r="F46" s="27" t="n">
        <v>5</v>
      </c>
      <c r="G46" s="27" t="inlineStr">
        <is>
          <t>Punimi i diplomës te Master i Shkencave në Inxhinieri Elektrike ka 24 ECTS (Master i Shkencave në Inxhinieri Elektrike, f. 4).</t>
        </is>
      </c>
      <c r="H46" s="27" t="inlineStr">
        <is>
          <t>IV_c-INXHINIERI-ELEKTRIKE_MSH-2.pdf (f. 1, 3, 4)</t>
        </is>
      </c>
      <c r="I46" s="27" t="n">
        <v>1.37</v>
      </c>
      <c r="J46" s="27">
        <f>J43</f>
        <v/>
      </c>
      <c r="K46" s="27">
        <f>K43</f>
        <v/>
      </c>
      <c r="L46" s="27" t="inlineStr">
        <is>
          <t>Pothuajse identike me ekzekutimin 2</t>
        </is>
      </c>
    </row>
    <row r="47" ht="23.85" customHeight="1" s="19">
      <c r="A47" s="23" t="n">
        <v>10</v>
      </c>
      <c r="B47" s="23" t="inlineStr">
        <is>
          <t>A</t>
        </is>
      </c>
      <c r="C47" s="23" t="inlineStr">
        <is>
          <t>po</t>
        </is>
      </c>
      <c r="D47" s="23" t="inlineStr">
        <is>
          <t>Sa ECTS ka Punimi i diplomës te Master Inxhinieri Ndërtimi?</t>
        </is>
      </c>
      <c r="E47" s="23" t="inlineStr">
        <is>
          <t>28 ECTS</t>
        </is>
      </c>
      <c r="F47" s="23" t="n">
        <v>1</v>
      </c>
      <c r="G47" s="23" t="inlineStr">
        <is>
          <t>(Teksti i përgjigjes së ekzekutimit origjinal nuk është i disponueshëm – vlerësimi është marrë nga Shtojca A.)</t>
        </is>
      </c>
      <c r="H47" s="23" t="n"/>
      <c r="I47" s="23" t="n">
        <v>1.13</v>
      </c>
      <c r="J47" s="24" t="inlineStr">
        <is>
          <t>E saktë</t>
        </is>
      </c>
      <c r="K47" s="24" t="inlineStr">
        <is>
          <t>jo</t>
        </is>
      </c>
      <c r="L47" s="23" t="n"/>
    </row>
    <row r="48" ht="91" customHeight="1" s="19">
      <c r="A48" s="25" t="n">
        <v>10</v>
      </c>
      <c r="B48" s="25" t="inlineStr">
        <is>
          <t>A</t>
        </is>
      </c>
      <c r="C48" s="25" t="inlineStr">
        <is>
          <t>po</t>
        </is>
      </c>
      <c r="D48" s="25" t="inlineStr">
        <is>
          <t>Sa ECTS ka Punimi i diplomës te Master Inxhinieri Ndërtimi?</t>
        </is>
      </c>
      <c r="E48" s="25" t="inlineStr">
        <is>
          <t>28 ECTS</t>
        </is>
      </c>
      <c r="F48" s="25" t="n">
        <v>2</v>
      </c>
      <c r="G48" s="25" t="inlineStr">
        <is>
          <t>Punimi i diplomës te Master i Shkencave në Inxhinieri Ndërtimi ka 28 ECTS (Master i Shkencave në Inxhinieri Ndërtimi, f. 3).</t>
        </is>
      </c>
      <c r="H48" s="25" t="inlineStr">
        <is>
          <t>IV_b-INXHINIERI-NDERTIMI_MSH.pdf (f. 2, 3) | IV_c-INXHINIERI-MEKANIKE_MSH.pdf (f. 3) | Msc_-Inxhinieri-Informatike.pdf (f. 1) | IV_c-INXHINIERI-ELEKTRIKE_MSH-2.pdf (f. 1)</t>
        </is>
      </c>
      <c r="I48" s="25" t="n">
        <v>1.45</v>
      </c>
      <c r="J48" s="26" t="inlineStr">
        <is>
          <t>E saktë</t>
        </is>
      </c>
      <c r="K48" s="26" t="inlineStr">
        <is>
          <t>jo</t>
        </is>
      </c>
      <c r="L48" s="25" t="n"/>
    </row>
    <row r="49" ht="91" customHeight="1" s="19">
      <c r="A49" s="27" t="n">
        <v>10</v>
      </c>
      <c r="B49" s="27" t="inlineStr">
        <is>
          <t>A</t>
        </is>
      </c>
      <c r="C49" s="27" t="inlineStr">
        <is>
          <t>po</t>
        </is>
      </c>
      <c r="D49" s="27" t="inlineStr">
        <is>
          <t>Sa ECTS ka Punimi i diplomës te Master Inxhinieri Ndërtimi?</t>
        </is>
      </c>
      <c r="E49" s="27" t="inlineStr">
        <is>
          <t>28 ECTS</t>
        </is>
      </c>
      <c r="F49" s="27" t="n">
        <v>3</v>
      </c>
      <c r="G49" s="27" t="inlineStr">
        <is>
          <t>Punimi i diplomës te Master i Shkencave në Inxhinieri Ndërtimi ka 28 ECTS (Master i Shkencave në Inxhinieri Ndërtimi, f. 3).</t>
        </is>
      </c>
      <c r="H49" s="27" t="inlineStr">
        <is>
          <t>IV_b-INXHINIERI-NDERTIMI_MSH.pdf (f. 2, 3) | IV_c-INXHINIERI-MEKANIKE_MSH.pdf (f. 3) | Msc_-Inxhinieri-Informatike.pdf (f. 1) | IV_c-INXHINIERI-ELEKTRIKE_MSH-2.pdf (f. 1)</t>
        </is>
      </c>
      <c r="I49" s="27" t="n">
        <v>1.33</v>
      </c>
      <c r="J49" s="27">
        <f>J48</f>
        <v/>
      </c>
      <c r="K49" s="27">
        <f>K48</f>
        <v/>
      </c>
      <c r="L49" s="27" t="inlineStr">
        <is>
          <t>Pothuajse identike me ekzekutimin 2</t>
        </is>
      </c>
    </row>
    <row r="50" ht="91" customHeight="1" s="19">
      <c r="A50" s="27" t="n">
        <v>10</v>
      </c>
      <c r="B50" s="27" t="inlineStr">
        <is>
          <t>A</t>
        </is>
      </c>
      <c r="C50" s="27" t="inlineStr">
        <is>
          <t>po</t>
        </is>
      </c>
      <c r="D50" s="27" t="inlineStr">
        <is>
          <t>Sa ECTS ka Punimi i diplomës te Master Inxhinieri Ndërtimi?</t>
        </is>
      </c>
      <c r="E50" s="27" t="inlineStr">
        <is>
          <t>28 ECTS</t>
        </is>
      </c>
      <c r="F50" s="27" t="n">
        <v>4</v>
      </c>
      <c r="G50" s="27" t="inlineStr">
        <is>
          <t>Punimi i diplomës te Master i Shkencave në Inxhinieri Ndërtimi ka 28 ECTS (Master i Shkencave në Inxhinieri Ndërtimi, f. 3).</t>
        </is>
      </c>
      <c r="H50" s="27" t="inlineStr">
        <is>
          <t>IV_b-INXHINIERI-NDERTIMI_MSH.pdf (f. 2, 3) | IV_c-INXHINIERI-MEKANIKE_MSH.pdf (f. 3) | Msc_-Inxhinieri-Informatike.pdf (f. 1) | IV_c-INXHINIERI-ELEKTRIKE_MSH-2.pdf (f. 1)</t>
        </is>
      </c>
      <c r="I50" s="27" t="n">
        <v>1.92</v>
      </c>
      <c r="J50" s="27">
        <f>J48</f>
        <v/>
      </c>
      <c r="K50" s="27">
        <f>K48</f>
        <v/>
      </c>
      <c r="L50" s="27" t="inlineStr">
        <is>
          <t>Pothuajse identike me ekzekutimin 2</t>
        </is>
      </c>
    </row>
    <row r="51" ht="91" customHeight="1" s="19">
      <c r="A51" s="27" t="n">
        <v>10</v>
      </c>
      <c r="B51" s="27" t="inlineStr">
        <is>
          <t>A</t>
        </is>
      </c>
      <c r="C51" s="27" t="inlineStr">
        <is>
          <t>po</t>
        </is>
      </c>
      <c r="D51" s="27" t="inlineStr">
        <is>
          <t>Sa ECTS ka Punimi i diplomës te Master Inxhinieri Ndërtimi?</t>
        </is>
      </c>
      <c r="E51" s="27" t="inlineStr">
        <is>
          <t>28 ECTS</t>
        </is>
      </c>
      <c r="F51" s="27" t="n">
        <v>5</v>
      </c>
      <c r="G51" s="27" t="inlineStr">
        <is>
          <t>Punimi i diplomës te Master i Shkencave në Inxhinieri Ndërtimi ka 28 ECTS (Master i Shkencave në Inxhinieri Ndërtimi, f. 3).</t>
        </is>
      </c>
      <c r="H51" s="27" t="inlineStr">
        <is>
          <t>IV_b-INXHINIERI-NDERTIMI_MSH.pdf (f. 2, 3) | IV_c-INXHINIERI-MEKANIKE_MSH.pdf (f. 3) | Msc_-Inxhinieri-Informatike.pdf (f. 1) | IV_c-INXHINIERI-ELEKTRIKE_MSH-2.pdf (f. 1)</t>
        </is>
      </c>
      <c r="I51" s="27" t="n">
        <v>2.68</v>
      </c>
      <c r="J51" s="27">
        <f>J48</f>
        <v/>
      </c>
      <c r="K51" s="27">
        <f>K48</f>
        <v/>
      </c>
      <c r="L51" s="27" t="inlineStr">
        <is>
          <t>Pothuajse identike me ekzekutimin 2</t>
        </is>
      </c>
    </row>
    <row r="52" ht="35.05" customHeight="1" s="19">
      <c r="A52" s="23" t="n">
        <v>11</v>
      </c>
      <c r="B52" s="23" t="inlineStr">
        <is>
          <t>A</t>
        </is>
      </c>
      <c r="C52" s="23" t="inlineStr">
        <is>
          <t>po</t>
        </is>
      </c>
      <c r="D52" s="23" t="inlineStr">
        <is>
          <t>Sa ECTS ka Mekanika e Dherave Shkembit dhe Themeleve në Inxhinieri Ndërtimi?</t>
        </is>
      </c>
      <c r="E52" s="23" t="inlineStr">
        <is>
          <t>10 ECTS; viti I; semestri 1</t>
        </is>
      </c>
      <c r="F52" s="23" t="n">
        <v>1</v>
      </c>
      <c r="G52" s="23" t="inlineStr">
        <is>
          <t>(Teksti i përgjigjes së ekzekutimit origjinal nuk është i disponueshëm – vlerësimi është marrë nga Shtojca A.)</t>
        </is>
      </c>
      <c r="H52" s="23" t="n"/>
      <c r="I52" s="23" t="n">
        <v>1.54</v>
      </c>
      <c r="J52" s="24" t="inlineStr">
        <is>
          <t>E saktë</t>
        </is>
      </c>
      <c r="K52" s="24" t="inlineStr">
        <is>
          <t>jo</t>
        </is>
      </c>
      <c r="L52" s="23" t="n"/>
    </row>
    <row r="53" ht="68.65000000000001" customHeight="1" s="19">
      <c r="A53" s="25" t="n">
        <v>11</v>
      </c>
      <c r="B53" s="25" t="inlineStr">
        <is>
          <t>A</t>
        </is>
      </c>
      <c r="C53" s="25" t="inlineStr">
        <is>
          <t>po</t>
        </is>
      </c>
      <c r="D53" s="25" t="inlineStr">
        <is>
          <t>Sa ECTS ka Mekanika e Dherave Shkembit dhe Themeleve në Inxhinieri Ndërtimi?</t>
        </is>
      </c>
      <c r="E53" s="25" t="inlineStr">
        <is>
          <t>10 ECTS; viti I; semestri 1</t>
        </is>
      </c>
      <c r="F53" s="25" t="n">
        <v>2</v>
      </c>
      <c r="G53" s="25" t="inlineStr">
        <is>
          <t>Mekanika e Dherave, Shkembit dhe Themeleve në Inxhinieri Ndërtimi ka 10 ECTS (Master i Shkencave në Inxhinieri Ndërtimi, f. 3).</t>
        </is>
      </c>
      <c r="H53" s="25" t="inlineStr">
        <is>
          <t>IV_c-INXHINIERI-MEKANIKE_MSH.pdf (f. 5, 1) | IV_b-INXHINIERI-NDERTIMI_MSH.pdf (f. 3) | IV_c-INXHINIERI-ELEKTRIKE_MSH-2.pdf (f. 4)</t>
        </is>
      </c>
      <c r="I53" s="25" t="n">
        <v>1.31</v>
      </c>
      <c r="J53" s="26" t="inlineStr">
        <is>
          <t>E saktë</t>
        </is>
      </c>
      <c r="K53" s="26" t="inlineStr">
        <is>
          <t>jo</t>
        </is>
      </c>
      <c r="L53" s="25" t="n"/>
    </row>
    <row r="54" ht="68.65000000000001" customHeight="1" s="19">
      <c r="A54" s="27" t="n">
        <v>11</v>
      </c>
      <c r="B54" s="27" t="inlineStr">
        <is>
          <t>A</t>
        </is>
      </c>
      <c r="C54" s="27" t="inlineStr">
        <is>
          <t>po</t>
        </is>
      </c>
      <c r="D54" s="27" t="inlineStr">
        <is>
          <t>Sa ECTS ka Mekanika e Dherave Shkembit dhe Themeleve në Inxhinieri Ndërtimi?</t>
        </is>
      </c>
      <c r="E54" s="27" t="inlineStr">
        <is>
          <t>10 ECTS; viti I; semestri 1</t>
        </is>
      </c>
      <c r="F54" s="27" t="n">
        <v>3</v>
      </c>
      <c r="G54" s="27" t="inlineStr">
        <is>
          <t>Mekanika e Dherave, Shkembit dhe Themeleve në Inxhinieri Ndërtimi ka 10 ECTS (Master i Shkencave në Inxhinieri Ndërtimi, f. 3).</t>
        </is>
      </c>
      <c r="H54" s="27" t="inlineStr">
        <is>
          <t>IV_c-INXHINIERI-MEKANIKE_MSH.pdf (f. 5, 1) | IV_b-INXHINIERI-NDERTIMI_MSH.pdf (f. 3) | IV_c-INXHINIERI-ELEKTRIKE_MSH-2.pdf (f. 4)</t>
        </is>
      </c>
      <c r="I54" s="27" t="n">
        <v>1.24</v>
      </c>
      <c r="J54" s="27">
        <f>J53</f>
        <v/>
      </c>
      <c r="K54" s="27">
        <f>K53</f>
        <v/>
      </c>
      <c r="L54" s="27" t="inlineStr">
        <is>
          <t>Pothuajse identike me ekzekutimin 2</t>
        </is>
      </c>
    </row>
    <row r="55" ht="68.65000000000001" customHeight="1" s="19">
      <c r="A55" s="27" t="n">
        <v>11</v>
      </c>
      <c r="B55" s="27" t="inlineStr">
        <is>
          <t>A</t>
        </is>
      </c>
      <c r="C55" s="27" t="inlineStr">
        <is>
          <t>po</t>
        </is>
      </c>
      <c r="D55" s="27" t="inlineStr">
        <is>
          <t>Sa ECTS ka Mekanika e Dherave Shkembit dhe Themeleve në Inxhinieri Ndërtimi?</t>
        </is>
      </c>
      <c r="E55" s="27" t="inlineStr">
        <is>
          <t>10 ECTS; viti I; semestri 1</t>
        </is>
      </c>
      <c r="F55" s="27" t="n">
        <v>4</v>
      </c>
      <c r="G55" s="27" t="inlineStr">
        <is>
          <t>Mekanika e Dherave, Shkembit dhe Themeleve në programin e Inxhinierisë Ndërtimi ka 10 ECTS (Master i Shkencave në Inxhinieri Ndërtimi, f. 3).</t>
        </is>
      </c>
      <c r="H55" s="27" t="inlineStr">
        <is>
          <t>IV_c-INXHINIERI-MEKANIKE_MSH.pdf (f. 5, 1) | IV_b-INXHINIERI-NDERTIMI_MSH.pdf (f. 3) | IV_c-INXHINIERI-ELEKTRIKE_MSH-2.pdf (f. 4)</t>
        </is>
      </c>
      <c r="I55" s="27" t="n">
        <v>1.82</v>
      </c>
      <c r="J55" s="27">
        <f>J53</f>
        <v/>
      </c>
      <c r="K55" s="27">
        <f>K53</f>
        <v/>
      </c>
      <c r="L55" s="27" t="inlineStr">
        <is>
          <t>Pothuajse identike me ekzekutimin 2</t>
        </is>
      </c>
    </row>
    <row r="56" ht="68.65000000000001" customHeight="1" s="19">
      <c r="A56" s="27" t="n">
        <v>11</v>
      </c>
      <c r="B56" s="27" t="inlineStr">
        <is>
          <t>A</t>
        </is>
      </c>
      <c r="C56" s="27" t="inlineStr">
        <is>
          <t>po</t>
        </is>
      </c>
      <c r="D56" s="27" t="inlineStr">
        <is>
          <t>Sa ECTS ka Mekanika e Dherave Shkembit dhe Themeleve në Inxhinieri Ndërtimi?</t>
        </is>
      </c>
      <c r="E56" s="27" t="inlineStr">
        <is>
          <t>10 ECTS; viti I; semestri 1</t>
        </is>
      </c>
      <c r="F56" s="27" t="n">
        <v>5</v>
      </c>
      <c r="G56" s="27" t="inlineStr">
        <is>
          <t>Mekanika e Dherave, Shkembit dhe Themeleve në Inxhinieri Ndërtimi ka 10 ECTS (Master i Shkencave në Inxhinieri Ndërtimi, f. 3).</t>
        </is>
      </c>
      <c r="H56" s="27" t="inlineStr">
        <is>
          <t>IV_c-INXHINIERI-MEKANIKE_MSH.pdf (f. 5, 1) | IV_b-INXHINIERI-NDERTIMI_MSH.pdf (f. 3) | IV_c-INXHINIERI-ELEKTRIKE_MSH-2.pdf (f. 4)</t>
        </is>
      </c>
      <c r="I56" s="27" t="n">
        <v>1.72</v>
      </c>
      <c r="J56" s="27">
        <f>J53</f>
        <v/>
      </c>
      <c r="K56" s="27">
        <f>K53</f>
        <v/>
      </c>
      <c r="L56" s="27" t="inlineStr">
        <is>
          <t>Pothuajse identike me ekzekutimin 2</t>
        </is>
      </c>
    </row>
    <row r="57" ht="35.05" customHeight="1" s="19">
      <c r="A57" s="23" t="n">
        <v>12</v>
      </c>
      <c r="B57" s="23" t="inlineStr">
        <is>
          <t>A</t>
        </is>
      </c>
      <c r="C57" s="23" t="inlineStr">
        <is>
          <t>po</t>
        </is>
      </c>
      <c r="D57" s="23" t="inlineStr">
        <is>
          <t>Sa ECTS ka lënda Zhvillim Webi: aplikime dhe programim në Teknologji Informacioni?</t>
        </is>
      </c>
      <c r="E57" s="23" t="inlineStr">
        <is>
          <t>10 ECTS; viti II; semestri 2</t>
        </is>
      </c>
      <c r="F57" s="23" t="n">
        <v>1</v>
      </c>
      <c r="G57" s="23" t="inlineStr">
        <is>
          <t>(Teksti i përgjigjes së ekzekutimit origjinal nuk është i disponueshëm – vlerësimi është marrë nga Shtojca A.)</t>
        </is>
      </c>
      <c r="H57" s="23" t="n"/>
      <c r="I57" s="23" t="n">
        <v>1.12</v>
      </c>
      <c r="J57" s="24" t="inlineStr">
        <is>
          <t>E pasaktë</t>
        </is>
      </c>
      <c r="K57" s="24" t="inlineStr">
        <is>
          <t>jo</t>
        </is>
      </c>
      <c r="L57" s="23" t="n"/>
    </row>
    <row r="58" ht="46.25" customHeight="1" s="19">
      <c r="A58" s="25" t="n">
        <v>12</v>
      </c>
      <c r="B58" s="25" t="inlineStr">
        <is>
          <t>A</t>
        </is>
      </c>
      <c r="C58" s="25" t="inlineStr">
        <is>
          <t>po</t>
        </is>
      </c>
      <c r="D58" s="25" t="inlineStr">
        <is>
          <t>Sa ECTS ka lënda Zhvillim Webi: aplikime dhe programim në Teknologji Informacioni?</t>
        </is>
      </c>
      <c r="E58" s="25" t="inlineStr">
        <is>
          <t>10 ECTS; viti II; semestri 2</t>
        </is>
      </c>
      <c r="F58" s="25" t="n">
        <v>2</v>
      </c>
      <c r="G58" s="25" t="inlineStr">
        <is>
          <t>Nuk e gjej këtë informacion në dokumentet e disponueshme. Të lutem kontakto administratën e UET-së për detaje të tjera.</t>
        </is>
      </c>
      <c r="H58" s="25" t="inlineStr">
        <is>
          <t>Hyrje ne Javascript.pdf (f. 3, 1) | Express.js.pdf (f. 3) | React.js.pdf (f. 3) | Node.js.pdf (f. 3)</t>
        </is>
      </c>
      <c r="I58" s="25" t="n">
        <v>1.36</v>
      </c>
      <c r="J58" s="26" t="inlineStr">
        <is>
          <t>E pasaktë</t>
        </is>
      </c>
      <c r="K58" s="26" t="inlineStr">
        <is>
          <t>jo</t>
        </is>
      </c>
      <c r="L58" s="25" t="inlineStr">
        <is>
          <t>Refuzim i gabuar: Zhvillim Webi (10 ECTS, viti II, semestri 2) gjendet te plani i Teknologji Informacioni.</t>
        </is>
      </c>
    </row>
    <row r="59" ht="46.25" customHeight="1" s="19">
      <c r="A59" s="27" t="n">
        <v>12</v>
      </c>
      <c r="B59" s="27" t="inlineStr">
        <is>
          <t>A</t>
        </is>
      </c>
      <c r="C59" s="27" t="inlineStr">
        <is>
          <t>po</t>
        </is>
      </c>
      <c r="D59" s="27" t="inlineStr">
        <is>
          <t>Sa ECTS ka lënda Zhvillim Webi: aplikime dhe programim në Teknologji Informacioni?</t>
        </is>
      </c>
      <c r="E59" s="27" t="inlineStr">
        <is>
          <t>10 ECTS; viti II; semestri 2</t>
        </is>
      </c>
      <c r="F59" s="27" t="n">
        <v>3</v>
      </c>
      <c r="G59" s="27" t="inlineStr">
        <is>
          <t>Nuk e gjej këtë informacion në dokumentet e disponueshme. Të lutem, kontakto administratën e UET-së për detaje të tjera.</t>
        </is>
      </c>
      <c r="H59" s="27" t="inlineStr">
        <is>
          <t>Hyrje ne Javascript.pdf (f. 3, 1) | Express.js.pdf (f. 3) | React.js.pdf (f. 3) | Node.js.pdf (f. 3)</t>
        </is>
      </c>
      <c r="I59" s="27" t="n">
        <v>1.46</v>
      </c>
      <c r="J59" s="27">
        <f>J58</f>
        <v/>
      </c>
      <c r="K59" s="27">
        <f>K58</f>
        <v/>
      </c>
      <c r="L59" s="27" t="inlineStr">
        <is>
          <t>Pothuajse identike me ekzekutimin 2</t>
        </is>
      </c>
    </row>
    <row r="60" ht="46.25" customHeight="1" s="19">
      <c r="A60" s="27" t="n">
        <v>12</v>
      </c>
      <c r="B60" s="27" t="inlineStr">
        <is>
          <t>A</t>
        </is>
      </c>
      <c r="C60" s="27" t="inlineStr">
        <is>
          <t>po</t>
        </is>
      </c>
      <c r="D60" s="27" t="inlineStr">
        <is>
          <t>Sa ECTS ka lënda Zhvillim Webi: aplikime dhe programim në Teknologji Informacioni?</t>
        </is>
      </c>
      <c r="E60" s="27" t="inlineStr">
        <is>
          <t>10 ECTS; viti II; semestri 2</t>
        </is>
      </c>
      <c r="F60" s="27" t="n">
        <v>4</v>
      </c>
      <c r="G60" s="27" t="inlineStr">
        <is>
          <t>Nuk e gjej këtë informacion në dokumentet e disponueshme. Të lutem kontakto administratën e UET-së për detaje të mëtejshme.</t>
        </is>
      </c>
      <c r="H60" s="27" t="inlineStr">
        <is>
          <t>Hyrje ne Javascript.pdf (f. 3, 1) | Express.js.pdf (f. 3) | React.js.pdf (f. 3) | Node.js.pdf (f. 3)</t>
        </is>
      </c>
      <c r="I60" s="27" t="n">
        <v>1.55</v>
      </c>
      <c r="J60" s="27">
        <f>J58</f>
        <v/>
      </c>
      <c r="K60" s="27">
        <f>K58</f>
        <v/>
      </c>
      <c r="L60" s="27" t="inlineStr">
        <is>
          <t>Pothuajse identike me ekzekutimin 2</t>
        </is>
      </c>
    </row>
    <row r="61" ht="46.25" customHeight="1" s="19">
      <c r="A61" s="27" t="n">
        <v>12</v>
      </c>
      <c r="B61" s="27" t="inlineStr">
        <is>
          <t>A</t>
        </is>
      </c>
      <c r="C61" s="27" t="inlineStr">
        <is>
          <t>po</t>
        </is>
      </c>
      <c r="D61" s="27" t="inlineStr">
        <is>
          <t>Sa ECTS ka lënda Zhvillim Webi: aplikime dhe programim në Teknologji Informacioni?</t>
        </is>
      </c>
      <c r="E61" s="27" t="inlineStr">
        <is>
          <t>10 ECTS; viti II; semestri 2</t>
        </is>
      </c>
      <c r="F61" s="27" t="n">
        <v>5</v>
      </c>
      <c r="G61" s="27" t="inlineStr">
        <is>
          <t>Nuk e gjej këtë informacion në dokumentet e disponueshme. Të lutem kontakto administratën e UET-së për detaje të mëtejshme.</t>
        </is>
      </c>
      <c r="H61" s="27" t="inlineStr">
        <is>
          <t>Hyrje ne Javascript.pdf (f. 3, 1) | Express.js.pdf (f. 3) | React.js.pdf (f. 3) | Node.js.pdf (f. 3)</t>
        </is>
      </c>
      <c r="I61" s="27" t="n">
        <v>1.48</v>
      </c>
      <c r="J61" s="27">
        <f>J58</f>
        <v/>
      </c>
      <c r="K61" s="27">
        <f>K58</f>
        <v/>
      </c>
      <c r="L61" s="27" t="inlineStr">
        <is>
          <t>Pothuajse identike me ekzekutimin 2</t>
        </is>
      </c>
    </row>
    <row r="62" ht="23.85" customHeight="1" s="19">
      <c r="A62" s="23" t="n">
        <v>13</v>
      </c>
      <c r="B62" s="23" t="inlineStr">
        <is>
          <t>A</t>
        </is>
      </c>
      <c r="C62" s="23" t="inlineStr">
        <is>
          <t>po</t>
        </is>
      </c>
      <c r="D62" s="23" t="inlineStr">
        <is>
          <t>Sa ECTS ka Praktika profesionale te Master Inxhinieri Mekanike?</t>
        </is>
      </c>
      <c r="E62" s="23" t="inlineStr">
        <is>
          <t>12 ECTS</t>
        </is>
      </c>
      <c r="F62" s="23" t="n">
        <v>1</v>
      </c>
      <c r="G62" s="23" t="inlineStr">
        <is>
          <t>(Teksti i përgjigjes së ekzekutimit origjinal nuk është i disponueshëm – vlerësimi është marrë nga Shtojca A.)</t>
        </is>
      </c>
      <c r="H62" s="23" t="n"/>
      <c r="I62" s="23" t="n">
        <v>1.64</v>
      </c>
      <c r="J62" s="24" t="inlineStr">
        <is>
          <t>E pasaktë</t>
        </is>
      </c>
      <c r="K62" s="24" t="inlineStr">
        <is>
          <t>jo</t>
        </is>
      </c>
      <c r="L62" s="23" t="n"/>
    </row>
    <row r="63" ht="46.25" customHeight="1" s="19">
      <c r="A63" s="25" t="n">
        <v>13</v>
      </c>
      <c r="B63" s="25" t="inlineStr">
        <is>
          <t>A</t>
        </is>
      </c>
      <c r="C63" s="25" t="inlineStr">
        <is>
          <t>po</t>
        </is>
      </c>
      <c r="D63" s="25" t="inlineStr">
        <is>
          <t>Sa ECTS ka Praktika profesionale te Master Inxhinieri Mekanike?</t>
        </is>
      </c>
      <c r="E63" s="25" t="inlineStr">
        <is>
          <t>12 ECTS</t>
        </is>
      </c>
      <c r="F63" s="25" t="n">
        <v>2</v>
      </c>
      <c r="G63" s="25" t="inlineStr">
        <is>
          <t>Nuk e gjej këtë informacion në dokumentet e disponueshme. Të rekomandoj të kontaktosh administratën e UET-së për detaje të sakta mbi kreditet ECTS për Praktikën profesionale në Masterin e Inxhinierisë Mekanike.</t>
        </is>
      </c>
      <c r="H63" s="25" t="inlineStr">
        <is>
          <t>IV_c-INXHINIERI-MEKANIKE_MSH.pdf (f. 1, 3) | IV_c-INXHINIERI-ELEKTRIKE_MSH-2.pdf (f. 1)</t>
        </is>
      </c>
      <c r="I63" s="25" t="n">
        <v>1.71</v>
      </c>
      <c r="J63" s="26" t="inlineStr">
        <is>
          <t>E pasaktë</t>
        </is>
      </c>
      <c r="K63" s="26" t="inlineStr">
        <is>
          <t>jo</t>
        </is>
      </c>
      <c r="L63" s="25" t="inlineStr">
        <is>
          <t>Refuzim i gabuar: Praktika profesionale ka 12 ECTS te dokumenti i Inxhinieri Mekanike.</t>
        </is>
      </c>
    </row>
    <row r="64" ht="46.25" customHeight="1" s="19">
      <c r="A64" s="25" t="n">
        <v>13</v>
      </c>
      <c r="B64" s="25" t="inlineStr">
        <is>
          <t>A</t>
        </is>
      </c>
      <c r="C64" s="25" t="inlineStr">
        <is>
          <t>po</t>
        </is>
      </c>
      <c r="D64" s="25" t="inlineStr">
        <is>
          <t>Sa ECTS ka Praktika profesionale te Master Inxhinieri Mekanike?</t>
        </is>
      </c>
      <c r="E64" s="25" t="inlineStr">
        <is>
          <t>12 ECTS</t>
        </is>
      </c>
      <c r="F64" s="25" t="n">
        <v>3</v>
      </c>
      <c r="G64" s="25" t="inlineStr">
        <is>
          <t>Nuk e gjej këtë informacion në dokumentet e disponueshme. Të lutem kontakto administratën e UET-së për detaje të tjera.</t>
        </is>
      </c>
      <c r="H64" s="25" t="inlineStr">
        <is>
          <t>IV_c-INXHINIERI-MEKANIKE_MSH.pdf (f. 1, 3) | IV_c-INXHINIERI-ELEKTRIKE_MSH-2.pdf (f. 1)</t>
        </is>
      </c>
      <c r="I64" s="25" t="n">
        <v>1.6</v>
      </c>
      <c r="J64" s="26" t="inlineStr">
        <is>
          <t>E pasaktë</t>
        </is>
      </c>
      <c r="K64" s="26" t="inlineStr">
        <is>
          <t>jo</t>
        </is>
      </c>
      <c r="L64" s="25" t="inlineStr">
        <is>
          <t>Refuzim i gabuar: Praktika profesionale ka 12 ECTS te dokumenti i Inxhinieri Mekanike.</t>
        </is>
      </c>
    </row>
    <row r="65" ht="46.25" customHeight="1" s="19">
      <c r="A65" s="25" t="n">
        <v>13</v>
      </c>
      <c r="B65" s="25" t="inlineStr">
        <is>
          <t>A</t>
        </is>
      </c>
      <c r="C65" s="25" t="inlineStr">
        <is>
          <t>po</t>
        </is>
      </c>
      <c r="D65" s="25" t="inlineStr">
        <is>
          <t>Sa ECTS ka Praktika profesionale te Master Inxhinieri Mekanike?</t>
        </is>
      </c>
      <c r="E65" s="25" t="inlineStr">
        <is>
          <t>12 ECTS</t>
        </is>
      </c>
      <c r="F65" s="25" t="n">
        <v>4</v>
      </c>
      <c r="G65" s="25" t="inlineStr">
        <is>
          <t>Nuk e gjej këtë informacion në dokumentet e disponueshme. Të lutem kontakto administratën e UET-së për detaje të sakta mbi ECTS për Praktikën profesionale në Masterin e Inxhinierisë Mekanike.</t>
        </is>
      </c>
      <c r="H65" s="25" t="inlineStr">
        <is>
          <t>IV_c-INXHINIERI-MEKANIKE_MSH.pdf (f. 1, 3) | IV_c-INXHINIERI-ELEKTRIKE_MSH-2.pdf (f. 1)</t>
        </is>
      </c>
      <c r="I65" s="25" t="n">
        <v>1.25</v>
      </c>
      <c r="J65" s="26" t="inlineStr">
        <is>
          <t>E pasaktë</t>
        </is>
      </c>
      <c r="K65" s="26" t="inlineStr">
        <is>
          <t>jo</t>
        </is>
      </c>
      <c r="L65" s="25" t="inlineStr">
        <is>
          <t>Refuzim i gabuar: Praktika profesionale ka 12 ECTS te dokumenti i Inxhinieri Mekanike.</t>
        </is>
      </c>
    </row>
    <row r="66" ht="46.25" customHeight="1" s="19">
      <c r="A66" s="25" t="n">
        <v>13</v>
      </c>
      <c r="B66" s="25" t="inlineStr">
        <is>
          <t>A</t>
        </is>
      </c>
      <c r="C66" s="25" t="inlineStr">
        <is>
          <t>po</t>
        </is>
      </c>
      <c r="D66" s="25" t="inlineStr">
        <is>
          <t>Sa ECTS ka Praktika profesionale te Master Inxhinieri Mekanike?</t>
        </is>
      </c>
      <c r="E66" s="25" t="inlineStr">
        <is>
          <t>12 ECTS</t>
        </is>
      </c>
      <c r="F66" s="25" t="n">
        <v>5</v>
      </c>
      <c r="G66" s="25" t="inlineStr">
        <is>
          <t>Nuk e gjej këtë informacion në dokumentet e disponueshme. Të këshilloj të kontaktosh administratën e UET-së për detaje të sakta mbi ECTS për Praktikën profesionale në Masterin e Inxhinierisë Mekanike.</t>
        </is>
      </c>
      <c r="H66" s="25" t="inlineStr">
        <is>
          <t>IV_c-INXHINIERI-MEKANIKE_MSH.pdf (f. 1, 3) | IV_c-INXHINIERI-ELEKTRIKE_MSH-2.pdf (f. 1)</t>
        </is>
      </c>
      <c r="I66" s="25" t="n">
        <v>1.53</v>
      </c>
      <c r="J66" s="26" t="inlineStr">
        <is>
          <t>E pasaktë</t>
        </is>
      </c>
      <c r="K66" s="26" t="inlineStr">
        <is>
          <t>jo</t>
        </is>
      </c>
      <c r="L66" s="25" t="inlineStr">
        <is>
          <t>Refuzim i gabuar: Praktika profesionale ka 12 ECTS te dokumenti i Inxhinieri Mekanike.</t>
        </is>
      </c>
    </row>
    <row r="67" ht="35.05" customHeight="1" s="19">
      <c r="A67" s="23" t="n">
        <v>14</v>
      </c>
      <c r="B67" s="23" t="inlineStr">
        <is>
          <t>A</t>
        </is>
      </c>
      <c r="C67" s="23" t="inlineStr">
        <is>
          <t>po</t>
        </is>
      </c>
      <c r="D67" s="23" t="inlineStr">
        <is>
          <t>A është Inteligjenca artificiale lëndë profili te Master Teknologji Informacioni?</t>
        </is>
      </c>
      <c r="E67" s="23" t="inlineStr">
        <is>
          <t>Po; te profili Zhvillim Softweresh; 6 ECTS; viti II; semestri 1</t>
        </is>
      </c>
      <c r="F67" s="23" t="n">
        <v>1</v>
      </c>
      <c r="G67" s="23" t="inlineStr">
        <is>
          <t>(Teksti i përgjigjes së ekzekutimit origjinal nuk është i disponueshëm – vlerësimi është marrë nga Shtojca A.)</t>
        </is>
      </c>
      <c r="H67" s="23" t="n"/>
      <c r="I67" s="23" t="n">
        <v>1.85</v>
      </c>
      <c r="J67" s="24" t="inlineStr">
        <is>
          <t>E pasaktë</t>
        </is>
      </c>
      <c r="K67" s="24" t="inlineStr">
        <is>
          <t>jo</t>
        </is>
      </c>
      <c r="L67" s="23" t="n"/>
    </row>
    <row r="68" ht="79.84999999999999" customHeight="1" s="19">
      <c r="A68" s="25" t="n">
        <v>14</v>
      </c>
      <c r="B68" s="25" t="inlineStr">
        <is>
          <t>A</t>
        </is>
      </c>
      <c r="C68" s="25" t="inlineStr">
        <is>
          <t>po</t>
        </is>
      </c>
      <c r="D68" s="25" t="inlineStr">
        <is>
          <t>A është Inteligjenca artificiale lëndë profili te Master Teknologji Informacioni?</t>
        </is>
      </c>
      <c r="E68" s="25" t="inlineStr">
        <is>
          <t>Po; te profili Zhvillim Softweresh; 6 ECTS; viti II; semestri 1</t>
        </is>
      </c>
      <c r="F68" s="25" t="n">
        <v>2</v>
      </c>
      <c r="G68" s="25" t="inlineStr">
        <is>
          <t>Inteligjenca artificiale është një lëndë që ofrohet në programin e Masterit të Shkencave në Teknologji Informacioni, por ajo është pjesë e grupit të lëndëve ndërdisiplinore ose integruese dhe jo specifikisht lëndë profili (Master i Shkencave në Teknologji Informacioni, f. 1).</t>
        </is>
      </c>
      <c r="H68" s="25" t="inlineStr">
        <is>
          <t>MSc_-Teknologji-Informacioni.pdf (f. 1) | MP-Informatike-e-Aplikuar.pdf (f. 1) | MSH-Informatike-Ekonomike-AL.pdf (f. 2) | Msc_-Inxhinieri-Informatike.pdf (f. 1)</t>
        </is>
      </c>
      <c r="I68" s="25" t="n">
        <v>1.7</v>
      </c>
      <c r="J68" s="26" t="inlineStr">
        <is>
          <t>E pasaktë</t>
        </is>
      </c>
      <c r="K68" s="26" t="inlineStr">
        <is>
          <t>jo</t>
        </is>
      </c>
      <c r="L68" s="25" t="inlineStr">
        <is>
          <t>Thotë se Inteligjenca artificiale nuk është lëndë profili, por dokumenti e vendos te profili Zhvillim Softweresh (6 ECTS, viti II, semestri 1). Gabim leximi i strukturës, jo detaj i shpikur.</t>
        </is>
      </c>
    </row>
    <row r="69" ht="79.84999999999999" customHeight="1" s="19">
      <c r="A69" s="25" t="n">
        <v>14</v>
      </c>
      <c r="B69" s="25" t="inlineStr">
        <is>
          <t>A</t>
        </is>
      </c>
      <c r="C69" s="25" t="inlineStr">
        <is>
          <t>po</t>
        </is>
      </c>
      <c r="D69" s="25" t="inlineStr">
        <is>
          <t>A është Inteligjenca artificiale lëndë profili te Master Teknologji Informacioni?</t>
        </is>
      </c>
      <c r="E69" s="25" t="inlineStr">
        <is>
          <t>Po; te profili Zhvillim Softweresh; 6 ECTS; viti II; semestri 1</t>
        </is>
      </c>
      <c r="F69" s="25" t="n">
        <v>3</v>
      </c>
      <c r="G69" s="25" t="inlineStr">
        <is>
          <t>Nuk e gjej këtë informacion në dokumentet e disponueshme. Të sugjeroj të kontaktojë administratën e UET-së për detaje të sakta mbi lëndët e profileve.</t>
        </is>
      </c>
      <c r="H69" s="25" t="inlineStr">
        <is>
          <t>MSc_-Teknologji-Informacioni.pdf (f. 1) | MP-Informatike-e-Aplikuar.pdf (f. 1) | MSH-Informatike-Ekonomike-AL.pdf (f. 2) | Msc_-Inxhinieri-Informatike.pdf (f. 1)</t>
        </is>
      </c>
      <c r="I69" s="25" t="n">
        <v>1.71</v>
      </c>
      <c r="J69" s="26" t="inlineStr">
        <is>
          <t>E pasaktë</t>
        </is>
      </c>
      <c r="K69" s="26" t="inlineStr">
        <is>
          <t>jo</t>
        </is>
      </c>
      <c r="L69" s="25" t="inlineStr">
        <is>
          <t>Refuzim i gabuar: informacioni gjendet te plani i Teknologji Informacioni.</t>
        </is>
      </c>
    </row>
    <row r="70" ht="79.84999999999999" customHeight="1" s="19">
      <c r="A70" s="25" t="n">
        <v>14</v>
      </c>
      <c r="B70" s="25" t="inlineStr">
        <is>
          <t>A</t>
        </is>
      </c>
      <c r="C70" s="25" t="inlineStr">
        <is>
          <t>po</t>
        </is>
      </c>
      <c r="D70" s="25" t="inlineStr">
        <is>
          <t>A është Inteligjenca artificiale lëndë profili te Master Teknologji Informacioni?</t>
        </is>
      </c>
      <c r="E70" s="25" t="inlineStr">
        <is>
          <t>Po; te profili Zhvillim Softweresh; 6 ECTS; viti II; semestri 1</t>
        </is>
      </c>
      <c r="F70" s="25" t="n">
        <v>4</v>
      </c>
      <c r="G70" s="25" t="inlineStr">
        <is>
          <t>Nuk e gjej këtë informacion në dokumentet e disponueshme. Të sugjeroj të kontaktosh administratën e UET-së për detaje të sakta.</t>
        </is>
      </c>
      <c r="H70" s="25" t="inlineStr">
        <is>
          <t>MSc_-Teknologji-Informacioni.pdf (f. 1) | MP-Informatike-e-Aplikuar.pdf (f. 1) | MSH-Informatike-Ekonomike-AL.pdf (f. 2) | Msc_-Inxhinieri-Informatike.pdf (f. 1)</t>
        </is>
      </c>
      <c r="I70" s="25" t="n">
        <v>1.31</v>
      </c>
      <c r="J70" s="26" t="inlineStr">
        <is>
          <t>E pasaktë</t>
        </is>
      </c>
      <c r="K70" s="26" t="inlineStr">
        <is>
          <t>jo</t>
        </is>
      </c>
      <c r="L70" s="25" t="inlineStr">
        <is>
          <t>Refuzim i gabuar: informacioni gjendet te plani i Teknologji Informacioni.</t>
        </is>
      </c>
    </row>
    <row r="71" ht="79.84999999999999" customHeight="1" s="19">
      <c r="A71" s="25" t="n">
        <v>14</v>
      </c>
      <c r="B71" s="25" t="inlineStr">
        <is>
          <t>A</t>
        </is>
      </c>
      <c r="C71" s="25" t="inlineStr">
        <is>
          <t>po</t>
        </is>
      </c>
      <c r="D71" s="25" t="inlineStr">
        <is>
          <t>A është Inteligjenca artificiale lëndë profili te Master Teknologji Informacioni?</t>
        </is>
      </c>
      <c r="E71" s="25" t="inlineStr">
        <is>
          <t>Po; te profili Zhvillim Softweresh; 6 ECTS; viti II; semestri 1</t>
        </is>
      </c>
      <c r="F71" s="25" t="n">
        <v>5</v>
      </c>
      <c r="G71" s="25" t="inlineStr">
        <is>
          <t>Nuk e gjej këtë informacion në dokumentet e disponueshme. Të sugjeroj të kontaktosh administratën e UET-së për detaje të sakta rreth lëndëve të profilit në Masterin e Shkencave në Teknologji Informacioni.</t>
        </is>
      </c>
      <c r="H71" s="25" t="inlineStr">
        <is>
          <t>MSc_-Teknologji-Informacioni.pdf (f. 1) | MP-Informatike-e-Aplikuar.pdf (f. 1) | MSH-Informatike-Ekonomike-AL.pdf (f. 2) | Msc_-Inxhinieri-Informatike.pdf (f. 1)</t>
        </is>
      </c>
      <c r="I71" s="25" t="n">
        <v>1.39</v>
      </c>
      <c r="J71" s="26" t="inlineStr">
        <is>
          <t>E pasaktë</t>
        </is>
      </c>
      <c r="K71" s="26" t="inlineStr">
        <is>
          <t>jo</t>
        </is>
      </c>
      <c r="L71" s="25" t="inlineStr">
        <is>
          <t>Refuzim i gabuar: informacioni gjendet te plani i Teknologji Informacioni.</t>
        </is>
      </c>
    </row>
    <row r="72" ht="35.05" customHeight="1" s="19">
      <c r="A72" s="23" t="n">
        <v>15</v>
      </c>
      <c r="B72" s="23" t="inlineStr">
        <is>
          <t>A</t>
        </is>
      </c>
      <c r="C72" s="23" t="inlineStr">
        <is>
          <t>po</t>
        </is>
      </c>
      <c r="D72" s="23" t="inlineStr">
        <is>
          <t>Cilat lëndë ka profili Siguria e sistemeve të informacionit në Inxhinieri Informatike?</t>
        </is>
      </c>
      <c r="E72" s="23" t="inlineStr">
        <is>
          <t>Kontrolli dhe auditimi i sigurisë në rrjetat kompjuterike; Menaxhimi i riskut në IT; Kriptografia dhe Ethical Hacking</t>
        </is>
      </c>
      <c r="F72" s="23" t="n">
        <v>1</v>
      </c>
      <c r="G72" s="23" t="inlineStr">
        <is>
          <t>(Teksti i përgjigjes së ekzekutimit origjinal nuk është i disponueshëm – vlerësimi është marrë nga Shtojca A.)</t>
        </is>
      </c>
      <c r="H72" s="23" t="n"/>
      <c r="I72" s="23" t="n">
        <v>2.29</v>
      </c>
      <c r="J72" s="24" t="inlineStr">
        <is>
          <t>E saktë</t>
        </is>
      </c>
      <c r="K72" s="24" t="inlineStr">
        <is>
          <t>jo</t>
        </is>
      </c>
      <c r="L72" s="23" t="n"/>
    </row>
    <row r="73" ht="91" customHeight="1" s="19">
      <c r="A73" s="25" t="n">
        <v>15</v>
      </c>
      <c r="B73" s="25" t="inlineStr">
        <is>
          <t>A</t>
        </is>
      </c>
      <c r="C73" s="25" t="inlineStr">
        <is>
          <t>po</t>
        </is>
      </c>
      <c r="D73" s="25" t="inlineStr">
        <is>
          <t>Cilat lëndë ka profili Siguria e sistemeve të informacionit në Inxhinieri Informatike?</t>
        </is>
      </c>
      <c r="E73" s="25" t="inlineStr">
        <is>
          <t>Kontrolli dhe auditimi i sigurisë në rrjetat kompjuterike; Menaxhimi i riskut në IT; Kriptografia dhe Ethical Hacking</t>
        </is>
      </c>
      <c r="F73" s="25" t="n">
        <v>2</v>
      </c>
      <c r="G73" s="25" t="inlineStr">
        <is>
          <t>Programi: Master i Shkencave në Inxhinieri Informatike
Profili II: Siguria e sistemeve të informacionit përfshin lëndët si më poshtë:
1. Kontrolli dhe auditimi i sigurisë në rrjetat kompjuterike - 6 ECTS
2. Menaxhimi i riskut në IT - 6 ECTS
3. Kriptografia dhe Ethical Hacking - 6 ECTS
Burimi: Master i Shkencave në Inxhinieri Informatike.</t>
        </is>
      </c>
      <c r="H73" s="25" t="inlineStr">
        <is>
          <t>Msc_-Inxhinieri-Informatike.pdf (f. 1) | MP-Informatike-e-Aplikuar.pdf (f. 1) | IV_c-INXHINIERI-ELEKTRIKE_MSH-2.pdf (f. 1)</t>
        </is>
      </c>
      <c r="I73" s="25" t="n">
        <v>1.9</v>
      </c>
      <c r="J73" s="26" t="inlineStr">
        <is>
          <t>E saktë</t>
        </is>
      </c>
      <c r="K73" s="26" t="inlineStr">
        <is>
          <t>jo</t>
        </is>
      </c>
      <c r="L73" s="25" t="n"/>
    </row>
    <row r="74" ht="102.2" customHeight="1" s="19">
      <c r="A74" s="27" t="n">
        <v>15</v>
      </c>
      <c r="B74" s="27" t="inlineStr">
        <is>
          <t>A</t>
        </is>
      </c>
      <c r="C74" s="27" t="inlineStr">
        <is>
          <t>po</t>
        </is>
      </c>
      <c r="D74" s="27" t="inlineStr">
        <is>
          <t>Cilat lëndë ka profili Siguria e sistemeve të informacionit në Inxhinieri Informatike?</t>
        </is>
      </c>
      <c r="E74" s="27" t="inlineStr">
        <is>
          <t>Kontrolli dhe auditimi i sigurisë në rrjetat kompjuterike; Menaxhimi i riskut në IT; Kriptografia dhe Ethical Hacking</t>
        </is>
      </c>
      <c r="F74" s="27" t="n">
        <v>3</v>
      </c>
      <c r="G74" s="27" t="inlineStr">
        <is>
          <t>Programi: Master i Shkencave në Inxhinieri Informatike
Profili II: Siguria e sistemeve të informacionit përfshin lëndët si më poshtë:
1. Kontrolli dhe auditimi i sigurisë në rrjetat kompjuterike - 6 ECTS
2. Menaxhimi i riskut në IT - 6 ECTS
3. Kriptografia dhe Ethical Hacking - 6 ECTS
Burimi: Master i Shkencave në Inxhinieri Informatike.</t>
        </is>
      </c>
      <c r="H74" s="27" t="inlineStr">
        <is>
          <t>Msc_-Inxhinieri-Informatike.pdf (f. 1) | MP-Informatike-e-Aplikuar.pdf (f. 1) | IV_c-INXHINIERI-ELEKTRIKE_MSH-2.pdf (f. 1)</t>
        </is>
      </c>
      <c r="I74" s="27" t="n">
        <v>2.3</v>
      </c>
      <c r="J74" s="27">
        <f>J73</f>
        <v/>
      </c>
      <c r="K74" s="27">
        <f>K73</f>
        <v/>
      </c>
      <c r="L74" s="27" t="inlineStr">
        <is>
          <t>Pothuajse identike me ekzekutimin 2</t>
        </is>
      </c>
    </row>
    <row r="75" ht="102.2" customHeight="1" s="19">
      <c r="A75" s="27" t="n">
        <v>15</v>
      </c>
      <c r="B75" s="27" t="inlineStr">
        <is>
          <t>A</t>
        </is>
      </c>
      <c r="C75" s="27" t="inlineStr">
        <is>
          <t>po</t>
        </is>
      </c>
      <c r="D75" s="27" t="inlineStr">
        <is>
          <t>Cilat lëndë ka profili Siguria e sistemeve të informacionit në Inxhinieri Informatike?</t>
        </is>
      </c>
      <c r="E75" s="27" t="inlineStr">
        <is>
          <t>Kontrolli dhe auditimi i sigurisë në rrjetat kompjuterike; Menaxhimi i riskut në IT; Kriptografia dhe Ethical Hacking</t>
        </is>
      </c>
      <c r="F75" s="27" t="n">
        <v>4</v>
      </c>
      <c r="G75" s="27" t="inlineStr">
        <is>
          <t>Programi: Master i Shkencave në Inxhinieri Informatike
Profili II: Siguria e sistemeve të informacionit përfshin lëndët si më poshtë:
1. Kontrolli dhe auditimi i sigurisë në rrjetat kompjuterike - 6 ECTS
2. Menaxhimi i riskut në IT - 6 ECTS
3. Kriptografia dhe Ethical Hacking - 6 ECTS
Burimi: Master i Shkencave në Inxhinieri Informatike.</t>
        </is>
      </c>
      <c r="H75" s="27" t="inlineStr">
        <is>
          <t>Msc_-Inxhinieri-Informatike.pdf (f. 1) | MP-Informatike-e-Aplikuar.pdf (f. 1) | IV_c-INXHINIERI-ELEKTRIKE_MSH-2.pdf (f. 1)</t>
        </is>
      </c>
      <c r="I75" s="27" t="n">
        <v>2.51</v>
      </c>
      <c r="J75" s="27">
        <f>J73</f>
        <v/>
      </c>
      <c r="K75" s="27">
        <f>K73</f>
        <v/>
      </c>
      <c r="L75" s="27" t="inlineStr">
        <is>
          <t>Pothuajse identike me ekzekutimin 2</t>
        </is>
      </c>
    </row>
    <row r="76" ht="102.2" customHeight="1" s="19">
      <c r="A76" s="27" t="n">
        <v>15</v>
      </c>
      <c r="B76" s="27" t="inlineStr">
        <is>
          <t>A</t>
        </is>
      </c>
      <c r="C76" s="27" t="inlineStr">
        <is>
          <t>po</t>
        </is>
      </c>
      <c r="D76" s="27" t="inlineStr">
        <is>
          <t>Cilat lëndë ka profili Siguria e sistemeve të informacionit në Inxhinieri Informatike?</t>
        </is>
      </c>
      <c r="E76" s="27" t="inlineStr">
        <is>
          <t>Kontrolli dhe auditimi i sigurisë në rrjetat kompjuterike; Menaxhimi i riskut në IT; Kriptografia dhe Ethical Hacking</t>
        </is>
      </c>
      <c r="F76" s="27" t="n">
        <v>5</v>
      </c>
      <c r="G76" s="27" t="inlineStr">
        <is>
          <t>Programi: Master i Shkencave në Inxhinieri Informatike
Profili II: Siguria e sistemeve të informacionit përfshin lëndët si më poshtë:
1. Kontrolli dhe auditimi i sigurisë në rrjetat kompjuterike - 6 ECTS
2. Menaxhimi i riskut në IT - 6 ECTS
3. Kriptografia dhe Ethical Hacking - 6 ECTS
Burimi: Master i Shkencave në Inxhinieri Informatike.</t>
        </is>
      </c>
      <c r="H76" s="27" t="inlineStr">
        <is>
          <t>Msc_-Inxhinieri-Informatike.pdf (f. 1) | MP-Informatike-e-Aplikuar.pdf (f. 1) | IV_c-INXHINIERI-ELEKTRIKE_MSH-2.pdf (f. 1)</t>
        </is>
      </c>
      <c r="I76" s="27" t="n">
        <v>2.36</v>
      </c>
      <c r="J76" s="27">
        <f>J73</f>
        <v/>
      </c>
      <c r="K76" s="27">
        <f>K73</f>
        <v/>
      </c>
      <c r="L76" s="27" t="inlineStr">
        <is>
          <t>Pothuajse identike me ekzekutimin 2</t>
        </is>
      </c>
    </row>
    <row r="77" ht="35.05" customHeight="1" s="19">
      <c r="A77" s="23" t="n">
        <v>16</v>
      </c>
      <c r="B77" s="23" t="inlineStr">
        <is>
          <t>A</t>
        </is>
      </c>
      <c r="C77" s="23" t="inlineStr">
        <is>
          <t>po</t>
        </is>
      </c>
      <c r="D77" s="23" t="inlineStr">
        <is>
          <t>Sa ECTS ka Menaxhimi i Rrjetave Kompjuterike në Inxhinieri Informatike?</t>
        </is>
      </c>
      <c r="E77" s="23" t="inlineStr">
        <is>
          <t>10 ECTS; viti I; semestri 2</t>
        </is>
      </c>
      <c r="F77" s="23" t="n">
        <v>1</v>
      </c>
      <c r="G77" s="23" t="inlineStr">
        <is>
          <t>(Teksti i përgjigjes së ekzekutimit origjinal nuk është i disponueshëm – vlerësimi është marrë nga Shtojca A.)</t>
        </is>
      </c>
      <c r="H77" s="23" t="n"/>
      <c r="I77" s="23" t="n">
        <v>1.51</v>
      </c>
      <c r="J77" s="24" t="inlineStr">
        <is>
          <t>E saktë</t>
        </is>
      </c>
      <c r="K77" s="24" t="inlineStr">
        <is>
          <t>jo</t>
        </is>
      </c>
      <c r="L77" s="23" t="n"/>
    </row>
    <row r="78" ht="57.45" customHeight="1" s="19">
      <c r="A78" s="25" t="n">
        <v>16</v>
      </c>
      <c r="B78" s="25" t="inlineStr">
        <is>
          <t>A</t>
        </is>
      </c>
      <c r="C78" s="25" t="inlineStr">
        <is>
          <t>po</t>
        </is>
      </c>
      <c r="D78" s="25" t="inlineStr">
        <is>
          <t>Sa ECTS ka Menaxhimi i Rrjetave Kompjuterike në Inxhinieri Informatike?</t>
        </is>
      </c>
      <c r="E78" s="25" t="inlineStr">
        <is>
          <t>10 ECTS; viti I; semestri 2</t>
        </is>
      </c>
      <c r="F78" s="25" t="n">
        <v>2</v>
      </c>
      <c r="G78" s="25" t="inlineStr">
        <is>
          <t>Menaxhimi i Rrjetave Kompjuterike në programin Master i Shkencave në Inxhinieri Informatike ka 10 ECTS (Master i Shkencave në Inxhinieri Informatike, f. 1).</t>
        </is>
      </c>
      <c r="H78" s="25" t="inlineStr">
        <is>
          <t>Msc_-Inxhinieri-Informatike.pdf (f. 1) | MSc_-Teknologji-Informacioni.pdf (f. 1) | IV_c-INXHINIERI-ELEKTRIKE_MSH-2.pdf (f. 1)</t>
        </is>
      </c>
      <c r="I78" s="25" t="n">
        <v>1.44</v>
      </c>
      <c r="J78" s="26" t="inlineStr">
        <is>
          <t>E saktë</t>
        </is>
      </c>
      <c r="K78" s="26" t="inlineStr">
        <is>
          <t>jo</t>
        </is>
      </c>
      <c r="L78" s="25" t="n"/>
    </row>
    <row r="79" ht="57.45" customHeight="1" s="19">
      <c r="A79" s="27" t="n">
        <v>16</v>
      </c>
      <c r="B79" s="27" t="inlineStr">
        <is>
          <t>A</t>
        </is>
      </c>
      <c r="C79" s="27" t="inlineStr">
        <is>
          <t>po</t>
        </is>
      </c>
      <c r="D79" s="27" t="inlineStr">
        <is>
          <t>Sa ECTS ka Menaxhimi i Rrjetave Kompjuterike në Inxhinieri Informatike?</t>
        </is>
      </c>
      <c r="E79" s="27" t="inlineStr">
        <is>
          <t>10 ECTS; viti I; semestri 2</t>
        </is>
      </c>
      <c r="F79" s="27" t="n">
        <v>3</v>
      </c>
      <c r="G79" s="27" t="inlineStr">
        <is>
          <t>Menaxhimi i Rrjetave Kompjuterike në programin Master i Shkencave në Inxhinieri Informatike ka 10 ECTS (Master i Shkencave në Inxhinieri Informatike, f. 1).</t>
        </is>
      </c>
      <c r="H79" s="27" t="inlineStr">
        <is>
          <t>Msc_-Inxhinieri-Informatike.pdf (f. 1) | MSc_-Teknologji-Informacioni.pdf (f. 1) | IV_c-INXHINIERI-ELEKTRIKE_MSH-2.pdf (f. 1)</t>
        </is>
      </c>
      <c r="I79" s="27" t="n">
        <v>1.58</v>
      </c>
      <c r="J79" s="27">
        <f>J78</f>
        <v/>
      </c>
      <c r="K79" s="27">
        <f>K78</f>
        <v/>
      </c>
      <c r="L79" s="27" t="inlineStr">
        <is>
          <t>Pothuajse identike me ekzekutimin 2</t>
        </is>
      </c>
    </row>
    <row r="80" ht="57.45" customHeight="1" s="19">
      <c r="A80" s="27" t="n">
        <v>16</v>
      </c>
      <c r="B80" s="27" t="inlineStr">
        <is>
          <t>A</t>
        </is>
      </c>
      <c r="C80" s="27" t="inlineStr">
        <is>
          <t>po</t>
        </is>
      </c>
      <c r="D80" s="27" t="inlineStr">
        <is>
          <t>Sa ECTS ka Menaxhimi i Rrjetave Kompjuterike në Inxhinieri Informatike?</t>
        </is>
      </c>
      <c r="E80" s="27" t="inlineStr">
        <is>
          <t>10 ECTS; viti I; semestri 2</t>
        </is>
      </c>
      <c r="F80" s="27" t="n">
        <v>4</v>
      </c>
      <c r="G80" s="27" t="inlineStr">
        <is>
          <t>Menaxhimi i Rrjetave Kompjuterike ka 10 ECTS në programin e Masterit të Shkencave në Inxhinieri Informatike (Master i Shkencave në Inxhinieri Informatike, f. 1).</t>
        </is>
      </c>
      <c r="H80" s="27" t="inlineStr">
        <is>
          <t>Msc_-Inxhinieri-Informatike.pdf (f. 1) | MSc_-Teknologji-Informacioni.pdf (f. 1) | IV_c-INXHINIERI-ELEKTRIKE_MSH-2.pdf (f. 1)</t>
        </is>
      </c>
      <c r="I80" s="27" t="n">
        <v>1.49</v>
      </c>
      <c r="J80" s="27">
        <f>J78</f>
        <v/>
      </c>
      <c r="K80" s="27">
        <f>K78</f>
        <v/>
      </c>
      <c r="L80" s="27" t="inlineStr">
        <is>
          <t>Pothuajse identike me ekzekutimin 2</t>
        </is>
      </c>
    </row>
    <row r="81" ht="57.45" customHeight="1" s="19">
      <c r="A81" s="27" t="n">
        <v>16</v>
      </c>
      <c r="B81" s="27" t="inlineStr">
        <is>
          <t>A</t>
        </is>
      </c>
      <c r="C81" s="27" t="inlineStr">
        <is>
          <t>po</t>
        </is>
      </c>
      <c r="D81" s="27" t="inlineStr">
        <is>
          <t>Sa ECTS ka Menaxhimi i Rrjetave Kompjuterike në Inxhinieri Informatike?</t>
        </is>
      </c>
      <c r="E81" s="27" t="inlineStr">
        <is>
          <t>10 ECTS; viti I; semestri 2</t>
        </is>
      </c>
      <c r="F81" s="27" t="n">
        <v>5</v>
      </c>
      <c r="G81" s="27" t="inlineStr">
        <is>
          <t>Menaxhimi i Rrjetave Kompjuterike në programin Master i Shkencave në Inxhinieri Informatike ka 10 ECTS (Master i Shkencave në Inxhinieri Informatike, f. 1).</t>
        </is>
      </c>
      <c r="H81" s="27" t="inlineStr">
        <is>
          <t>Msc_-Inxhinieri-Informatike.pdf (f. 1) | MSc_-Teknologji-Informacioni.pdf (f. 1) | IV_c-INXHINIERI-ELEKTRIKE_MSH-2.pdf (f. 1)</t>
        </is>
      </c>
      <c r="I81" s="27" t="n">
        <v>3.27</v>
      </c>
      <c r="J81" s="27">
        <f>J78</f>
        <v/>
      </c>
      <c r="K81" s="27">
        <f>K78</f>
        <v/>
      </c>
      <c r="L81" s="27" t="inlineStr">
        <is>
          <t>Pothuajse identike me ekzekutimin 2</t>
        </is>
      </c>
    </row>
    <row r="82" ht="35.05" customHeight="1" s="19">
      <c r="A82" s="23" t="n">
        <v>17</v>
      </c>
      <c r="B82" s="23" t="inlineStr">
        <is>
          <t>A</t>
        </is>
      </c>
      <c r="C82" s="23" t="inlineStr">
        <is>
          <t>po</t>
        </is>
      </c>
      <c r="D82" s="23" t="inlineStr">
        <is>
          <t>Cilat janë mundësitë e punësimit pas Master në Inxhinieri Ndërtimi?</t>
        </is>
      </c>
      <c r="E82" s="23" t="inlineStr">
        <is>
          <t>Inxhinier projektues; ekspert ndërtimi; inspektor ndërtimi; inxhinier strukturash; inxhinier i infrastrukturës së transportit</t>
        </is>
      </c>
      <c r="F82" s="23" t="n">
        <v>1</v>
      </c>
      <c r="G82" s="23" t="inlineStr">
        <is>
          <t>(Teksti i përgjigjes së ekzekutimit origjinal nuk është i disponueshëm – vlerësimi është marrë nga Shtojca A.)</t>
        </is>
      </c>
      <c r="H82" s="23" t="n"/>
      <c r="I82" s="23" t="n">
        <v>2.33</v>
      </c>
      <c r="J82" s="24" t="inlineStr">
        <is>
          <t>Pjesërisht e saktë</t>
        </is>
      </c>
      <c r="K82" s="24" t="inlineStr">
        <is>
          <t>jo</t>
        </is>
      </c>
      <c r="L82" s="23" t="n"/>
    </row>
    <row r="83" ht="102.2" customHeight="1" s="19">
      <c r="A83" s="25" t="n">
        <v>17</v>
      </c>
      <c r="B83" s="25" t="inlineStr">
        <is>
          <t>A</t>
        </is>
      </c>
      <c r="C83" s="25" t="inlineStr">
        <is>
          <t>po</t>
        </is>
      </c>
      <c r="D83" s="25" t="inlineStr">
        <is>
          <t>Cilat janë mundësitë e punësimit pas Master në Inxhinieri Ndërtimi?</t>
        </is>
      </c>
      <c r="E83" s="25" t="inlineStr">
        <is>
          <t>Inxhinier projektues; ekspert ndërtimi; inspektor ndërtimi; inxhinier strukturash; inxhinier i infrastrukturës së transportit</t>
        </is>
      </c>
      <c r="F83" s="25" t="n">
        <v>2</v>
      </c>
      <c r="G83" s="25" t="inlineStr">
        <is>
          <t>Programi: Master i Shkencave në Inxhinieri Ndërtimi
Mundësitë e punësimit për studentët e këtij programi përfshijnë:
- Inxhinier projektues në kompani të ndërtimit, zhvillues të njohur të pasurive të patundshme dhe agjenci ndërtimi.
- Ekspertë në ndërtim në firma të specializuara të ndërtimit, kompani konsultimi dhe institucione që ofrojnë shërbime të avancuara të mbikëqyrjes.
- Inxhinier i performancës së materialeve në kompani prodhuese inovative, si dhe në laboratorë hulumtimi që promovojnë standardet e larta të performancës. (Master i Shkencave në Inxhinieri Ndërtimi, f. 2)</t>
        </is>
      </c>
      <c r="H83" s="25" t="inlineStr">
        <is>
          <t>IV_b-INXHINIERI-NDERTIMI_MSH.pdf (f. 2) | IV_c-INXHINIERI-MEKANIKE_MSH.pdf (f. 3, 1)</t>
        </is>
      </c>
      <c r="I83" s="25" t="n">
        <v>2.65</v>
      </c>
      <c r="J83" s="26" t="inlineStr">
        <is>
          <t>Pjesërisht e saktë</t>
        </is>
      </c>
      <c r="K83" s="26" t="inlineStr">
        <is>
          <t>jo</t>
        </is>
      </c>
      <c r="L83" s="25" t="inlineStr">
        <is>
          <t>Përmend 3 nga rolet (projektues, ekspertë ndërtimi, inxhinier i performancës së materialeve), të sakta; mungojnë inspektor ndërtimi, inxhinier strukturash, infrastrukturë transporti.</t>
        </is>
      </c>
    </row>
    <row r="84" ht="102.2" customHeight="1" s="19">
      <c r="A84" s="25" t="n">
        <v>17</v>
      </c>
      <c r="B84" s="25" t="inlineStr">
        <is>
          <t>A</t>
        </is>
      </c>
      <c r="C84" s="25" t="inlineStr">
        <is>
          <t>po</t>
        </is>
      </c>
      <c r="D84" s="25" t="inlineStr">
        <is>
          <t>Cilat janë mundësitë e punësimit pas Master në Inxhinieri Ndërtimi?</t>
        </is>
      </c>
      <c r="E84" s="25" t="inlineStr">
        <is>
          <t>Inxhinier projektues; ekspert ndërtimi; inspektor ndërtimi; inxhinier strukturash; inxhinier i infrastrukturës së transportit</t>
        </is>
      </c>
      <c r="F84" s="25" t="n">
        <v>3</v>
      </c>
      <c r="G84" s="25" t="inlineStr">
        <is>
          <t>Programi: Master i Shkencave në Inxhinieri Ndërtimi
Mundësitë e punësimit për studentët e këtij programi përfshijnë:
- Inxhinier projektues në kompani të ndërtimit, zhvillues të njohur të pasurive të patundshme dhe agjenci ndërtimi.
- Ekspertë në ndërtim në firma të specializuara të ndërtimit, kompani konsultimi dhe institucione që ofrojnë shërbime të avancuara të mbikëqyrjes.
- Inxhinier i performancës së materialeve në kompani prodhuese inovative, si dhe në laboratorë hulumtimi që promovojnë standardet e larta të performancës. (Master i Shkencave në Inxhinieri Ndërtimi, f. 2)</t>
        </is>
      </c>
      <c r="H84" s="25" t="inlineStr">
        <is>
          <t>IV_b-INXHINIERI-NDERTIMI_MSH.pdf (f. 2) | IV_c-INXHINIERI-MEKANIKE_MSH.pdf (f. 3, 1)</t>
        </is>
      </c>
      <c r="I84" s="25" t="n">
        <v>2.6</v>
      </c>
      <c r="J84" s="26" t="inlineStr">
        <is>
          <t>Pjesërisht e saktë</t>
        </is>
      </c>
      <c r="K84" s="26" t="inlineStr">
        <is>
          <t>jo</t>
        </is>
      </c>
      <c r="L84" s="25" t="inlineStr">
        <is>
          <t>Përmend 3 nga rolet (projektues, ekspertë ndërtimi, inxhinier i performancës së materialeve), të sakta; mungojnë inspektor ndërtimi, inxhinier strukturash, infrastrukturë transporti.</t>
        </is>
      </c>
    </row>
    <row r="85" ht="102.2" customHeight="1" s="19">
      <c r="A85" s="25" t="n">
        <v>17</v>
      </c>
      <c r="B85" s="25" t="inlineStr">
        <is>
          <t>A</t>
        </is>
      </c>
      <c r="C85" s="25" t="inlineStr">
        <is>
          <t>po</t>
        </is>
      </c>
      <c r="D85" s="25" t="inlineStr">
        <is>
          <t>Cilat janë mundësitë e punësimit pas Master në Inxhinieri Ndërtimi?</t>
        </is>
      </c>
      <c r="E85" s="25" t="inlineStr">
        <is>
          <t>Inxhinier projektues; ekspert ndërtimi; inspektor ndërtimi; inxhinier strukturash; inxhinier i infrastrukturës së transportit</t>
        </is>
      </c>
      <c r="F85" s="25" t="n">
        <v>4</v>
      </c>
      <c r="G85" s="25" t="inlineStr">
        <is>
          <t>Programi: Master i Shkencave në Inxhinieri Ndërtimi
Mundësitë e punësimit për studentët e këtij programi përfshijnë:
- Inxhinier projektues në kompani të ndërtimit, zhvillues të njohur të pasurive të patundshme dhe agjenci ndërtimi.
- Ekspertë në ndërtim në firma të specializuara të ndërtimit, kompani konsultimi dhe institucione që ofrojnë shërbime të avancuara të mbikëqyrjes.
- Inxhinier i performancës së materialeve në kompani prodhuese inovative, si dhe në laboratorë hulumtimi që promovojnë standardet e larta të performancës. (Master i Shkencave në Inxhinieri Ndërtimi, f. 2)</t>
        </is>
      </c>
      <c r="H85" s="25" t="inlineStr">
        <is>
          <t>IV_b-INXHINIERI-NDERTIMI_MSH.pdf (f. 2) | IV_c-INXHINIERI-MEKANIKE_MSH.pdf (f. 3, 1)</t>
        </is>
      </c>
      <c r="I85" s="25" t="n">
        <v>2.26</v>
      </c>
      <c r="J85" s="26" t="inlineStr">
        <is>
          <t>Pjesërisht e saktë</t>
        </is>
      </c>
      <c r="K85" s="26" t="inlineStr">
        <is>
          <t>jo</t>
        </is>
      </c>
      <c r="L85" s="25" t="inlineStr">
        <is>
          <t>Përmend 3 nga rolet (projektues, ekspertë ndërtimi, inxhinier i performancës së materialeve), të sakta; mungojnë inspektor ndërtimi, inxhinier strukturash, infrastrukturë transporti.</t>
        </is>
      </c>
    </row>
    <row r="86" ht="102.2" customHeight="1" s="19">
      <c r="A86" s="25" t="n">
        <v>17</v>
      </c>
      <c r="B86" s="25" t="inlineStr">
        <is>
          <t>A</t>
        </is>
      </c>
      <c r="C86" s="25" t="inlineStr">
        <is>
          <t>po</t>
        </is>
      </c>
      <c r="D86" s="25" t="inlineStr">
        <is>
          <t>Cilat janë mundësitë e punësimit pas Master në Inxhinieri Ndërtimi?</t>
        </is>
      </c>
      <c r="E86" s="25" t="inlineStr">
        <is>
          <t>Inxhinier projektues; ekspert ndërtimi; inspektor ndërtimi; inxhinier strukturash; inxhinier i infrastrukturës së transportit</t>
        </is>
      </c>
      <c r="F86" s="25" t="n">
        <v>5</v>
      </c>
      <c r="G86" s="25" t="inlineStr">
        <is>
          <t>Mundësitë e punësimit pas Masterit në Inxhinieri Ndërtimi përfshijnë:
- Inxhinier projektues në kompani të ndërtimit, zhvillues të njohur të pasurive të patundshme dhe agjenci ndërtimi.
- Ekspertë në ndërtim në firma të specializuara të ndërtimit, kompani konsultimi dhe institucione që ofrojnë shërbime të avancuara të mbikëqyrjes.
- Inxhinier i performancës së materialeve në kompani prodhuese inovative, si dhe në laboratorë hulumtimi që promovojnë standardet e larta të performancës. (Master i Shkencave në Inxhinieri Ndërtimi, f. 2)</t>
        </is>
      </c>
      <c r="H86" s="25" t="inlineStr">
        <is>
          <t>IV_b-INXHINIERI-NDERTIMI_MSH.pdf (f. 2) | IV_c-INXHINIERI-MEKANIKE_MSH.pdf (f. 3, 1)</t>
        </is>
      </c>
      <c r="I86" s="25" t="n">
        <v>2.45</v>
      </c>
      <c r="J86" s="26" t="inlineStr">
        <is>
          <t>Pjesërisht e saktë</t>
        </is>
      </c>
      <c r="K86" s="26" t="inlineStr">
        <is>
          <t>jo</t>
        </is>
      </c>
      <c r="L86" s="25" t="inlineStr">
        <is>
          <t>Përmend 3 nga rolet (projektues, ekspertë ndërtimi, inxhinier i performancës së materialeve), të sakta; mungojnë inspektor ndërtimi, inxhinier strukturash, infrastrukturë transporti.</t>
        </is>
      </c>
    </row>
    <row r="87" ht="46.25" customHeight="1" s="19">
      <c r="A87" s="23" t="n">
        <v>18</v>
      </c>
      <c r="B87" s="23" t="inlineStr">
        <is>
          <t>A</t>
        </is>
      </c>
      <c r="C87" s="23" t="inlineStr">
        <is>
          <t>po</t>
        </is>
      </c>
      <c r="D87" s="23" t="inlineStr">
        <is>
          <t>Çfarë profesionesh mund të ushtrojë një i diplomuar në Master Inxhinieri Mekanike?</t>
        </is>
      </c>
      <c r="E87" s="23" t="inlineStr">
        <is>
          <t>Menaxher strategjik projektesh industriale; inxhinier i sistemeve industriale; konsulent ndërkombëtar; inxhinier për parqe energjetike</t>
        </is>
      </c>
      <c r="F87" s="23" t="n">
        <v>1</v>
      </c>
      <c r="G87" s="23" t="inlineStr">
        <is>
          <t>(Teksti i përgjigjes së ekzekutimit origjinal nuk është i disponueshëm – vlerësimi është marrë nga Shtojca A.)</t>
        </is>
      </c>
      <c r="H87" s="23" t="n"/>
      <c r="I87" s="23" t="n">
        <v>2.56</v>
      </c>
      <c r="J87" s="24" t="inlineStr">
        <is>
          <t>Pjesërisht e saktë</t>
        </is>
      </c>
      <c r="K87" s="24" t="inlineStr">
        <is>
          <t>jo</t>
        </is>
      </c>
      <c r="L87" s="23" t="n"/>
    </row>
    <row r="88" ht="113.4" customHeight="1" s="19">
      <c r="A88" s="25" t="n">
        <v>18</v>
      </c>
      <c r="B88" s="25" t="inlineStr">
        <is>
          <t>A</t>
        </is>
      </c>
      <c r="C88" s="25" t="inlineStr">
        <is>
          <t>po</t>
        </is>
      </c>
      <c r="D88" s="25" t="inlineStr">
        <is>
          <t>Çfarë profesionesh mund të ushtrojë një i diplomuar në Master Inxhinieri Mekanike?</t>
        </is>
      </c>
      <c r="E88" s="25" t="inlineStr">
        <is>
          <t>Menaxher strategjik projektesh industriale; inxhinier i sistemeve industriale; konsulent ndërkombëtar; inxhinier për parqe energjetike</t>
        </is>
      </c>
      <c r="F88" s="25" t="n">
        <v>2</v>
      </c>
      <c r="G88" s="25" t="inlineStr">
        <is>
          <t>Një i diplomuar në Masterin e Shkencave në Inxhinieri Mekanike mund të ushtrojë profesionet si:
1. Menaxher Strategjik i Projekteve Industriale në Energjetikë dhe Infrastrukturë Transporti, përgjegjës për udhëheqjen dhe menaxhimin e projekteve të mëdha në sektorët e energjisë dhe transportit.
2. Inxhinier i Avancuar i Sistemeve Industriale, pjesëmarrës në zhvillimin dhe optimizimin e sistemeve (Master i Shkencave në Inxhinieri Mekanike, f. 3). 
Këto pozita ofrojnë mundësi për zhvillim karriere në sektorët e inxhinierisë mekanike.</t>
        </is>
      </c>
      <c r="H88" s="25" t="inlineStr">
        <is>
          <t>IV_c-INXHINIERI-MEKANIKE_MSH.pdf (f. 3, 1)</t>
        </is>
      </c>
      <c r="I88" s="25" t="n">
        <v>3.37</v>
      </c>
      <c r="J88" s="26" t="inlineStr">
        <is>
          <t>Pjesërisht e saktë</t>
        </is>
      </c>
      <c r="K88" s="26" t="inlineStr">
        <is>
          <t>jo</t>
        </is>
      </c>
      <c r="L88" s="25" t="inlineStr">
        <is>
          <t>Dy role të sakta nga 4+ (Menaxher Strategjik, Inxhinier i Avancuar i Sistemeve Industriale); mungojnë konsulent ndërkombëtar, inxhinier teknologjish të reja etj.</t>
        </is>
      </c>
    </row>
    <row r="89" ht="135.8" customHeight="1" s="19">
      <c r="A89" s="25" t="n">
        <v>18</v>
      </c>
      <c r="B89" s="25" t="inlineStr">
        <is>
          <t>A</t>
        </is>
      </c>
      <c r="C89" s="25" t="inlineStr">
        <is>
          <t>po</t>
        </is>
      </c>
      <c r="D89" s="25" t="inlineStr">
        <is>
          <t>Çfarë profesionesh mund të ushtrojë një i diplomuar në Master Inxhinieri Mekanike?</t>
        </is>
      </c>
      <c r="E89" s="25" t="inlineStr">
        <is>
          <t>Menaxher strategjik projektesh industriale; inxhinier i sistemeve industriale; konsulent ndërkombëtar; inxhinier për parqe energjetike</t>
        </is>
      </c>
      <c r="F89" s="25" t="n">
        <v>3</v>
      </c>
      <c r="G89" s="25" t="inlineStr">
        <is>
          <t>Një i diplomuar në Masterin e Shkencave në Inxhinieri Mekanike mund të ushtrojë profesionet si:
1. Menaxher Strategjik i Projekteve Industriale në Energjetikë dhe Infrastrukturë Transporti, përgjegjës për udhëheqjen dhe menaxhimin e projekteve të mëdha në sektorët e energjisë dhe transportit (Master i Shkencave në Inxhinieri Mekanike, f. 3).
2. Inxhinier i Avancuar i Sistemeve Industriale, pjesëmarrës në zhvillimin dhe optimizimin e sistemeve (Master i Shkencave në Inxhinieri Mekanike, f. 3).
Këto pozita ofrojnë mundësi për zhvillim karriere të shpejtë në sektorët e inxhinierisë mekanike.</t>
        </is>
      </c>
      <c r="H89" s="25" t="inlineStr">
        <is>
          <t>IV_c-INXHINIERI-MEKANIKE_MSH.pdf (f. 3, 1)</t>
        </is>
      </c>
      <c r="I89" s="25" t="n">
        <v>2.54</v>
      </c>
      <c r="J89" s="26" t="inlineStr">
        <is>
          <t>Pjesërisht e saktë</t>
        </is>
      </c>
      <c r="K89" s="26" t="inlineStr">
        <is>
          <t>po</t>
        </is>
      </c>
      <c r="L89" s="25" t="inlineStr">
        <is>
          <t>Si më sipër, plus pohimi 'zhvillim karriere të shpejtë', që nuk mbështetet nga dokumenti.</t>
        </is>
      </c>
    </row>
    <row r="90" ht="124.6" customHeight="1" s="19">
      <c r="A90" s="25" t="n">
        <v>18</v>
      </c>
      <c r="B90" s="25" t="inlineStr">
        <is>
          <t>A</t>
        </is>
      </c>
      <c r="C90" s="25" t="inlineStr">
        <is>
          <t>po</t>
        </is>
      </c>
      <c r="D90" s="25" t="inlineStr">
        <is>
          <t>Çfarë profesionesh mund të ushtrojë një i diplomuar në Master Inxhinieri Mekanike?</t>
        </is>
      </c>
      <c r="E90" s="25" t="inlineStr">
        <is>
          <t>Menaxher strategjik projektesh industriale; inxhinier i sistemeve industriale; konsulent ndërkombëtar; inxhinier për parqe energjetike</t>
        </is>
      </c>
      <c r="F90" s="25" t="n">
        <v>4</v>
      </c>
      <c r="G90" s="25" t="inlineStr">
        <is>
          <t>Një i diplomuar në Masterin e Shkencave në Inxhinieri Mekanike mund të ushtrojë profesione si:
1. Menaxher Strategjik i Projekteve Industriale në Energjetikë dhe Infrastrukturë Transporti, përgjegjës për udhëheqjen dhe menaxhimin e projekteve të mëdha në sektorët e energjisë dhe transportit.
2. Inxhinier i Avancuar i Sistemeve Industriale, pjesëmarrës në zhvillimin dhe optimizimin e sistemeve (Master i Shkencave në Inxhinieri Mekanike, f. 3). 
Këto pozita i japin mundësi për të aplikuar njohuritë dhe kompetencat e fituara gjatë studimeve.</t>
        </is>
      </c>
      <c r="H90" s="25" t="inlineStr">
        <is>
          <t>IV_c-INXHINIERI-MEKANIKE_MSH.pdf (f. 3, 1)</t>
        </is>
      </c>
      <c r="I90" s="25" t="n">
        <v>2.65</v>
      </c>
      <c r="J90" s="26" t="inlineStr">
        <is>
          <t>Pjesërisht e saktë</t>
        </is>
      </c>
      <c r="K90" s="26" t="inlineStr">
        <is>
          <t>jo</t>
        </is>
      </c>
      <c r="L90" s="25" t="inlineStr">
        <is>
          <t>Dy role të sakta nga 4+ (Menaxher Strategjik, Inxhinier i Avancuar i Sistemeve Industriale); mungojnë konsulent ndërkombëtar, inxhinier teknologjish të reja etj.</t>
        </is>
      </c>
    </row>
    <row r="91" ht="124.6" customHeight="1" s="19">
      <c r="A91" s="25" t="n">
        <v>18</v>
      </c>
      <c r="B91" s="25" t="inlineStr">
        <is>
          <t>A</t>
        </is>
      </c>
      <c r="C91" s="25" t="inlineStr">
        <is>
          <t>po</t>
        </is>
      </c>
      <c r="D91" s="25" t="inlineStr">
        <is>
          <t>Çfarë profesionesh mund të ushtrojë një i diplomuar në Master Inxhinieri Mekanike?</t>
        </is>
      </c>
      <c r="E91" s="25" t="inlineStr">
        <is>
          <t>Menaxher strategjik projektesh industriale; inxhinier i sistemeve industriale; konsulent ndërkombëtar; inxhinier për parqe energjetike</t>
        </is>
      </c>
      <c r="F91" s="25" t="n">
        <v>5</v>
      </c>
      <c r="G91" s="25" t="inlineStr">
        <is>
          <t>Një i diplomuar në Masterin e Shkencave në Inxhinieri Mekanike mund të ushtrojë profesionet si:
1. Menaxher Strategjik i Projekteve Industriale në Energjetikë dhe Infrastrukturë Transporti, përgjegjës për udhëheqjen dhe menaxhimin e projekteve të mëdha në sektorët e energjisë dhe transportit.
2. Inxhinier i Avancuar i Sistemeve Industriale, pjesëmarrës në zhvillimin dhe optimizimin e sistemeve (Master i Shkencave në Inxhinieri Mekanike, f. 3).
Këto pozita ofrojnë mundësi për të aplikuar njohuritë dhe kompetencat e fituara gjatë studimeve.</t>
        </is>
      </c>
      <c r="H91" s="25" t="inlineStr">
        <is>
          <t>IV_c-INXHINIERI-MEKANIKE_MSH.pdf (f. 3, 1)</t>
        </is>
      </c>
      <c r="I91" s="25" t="n">
        <v>2.46</v>
      </c>
      <c r="J91" s="26" t="inlineStr">
        <is>
          <t>Pjesërisht e saktë</t>
        </is>
      </c>
      <c r="K91" s="26" t="inlineStr">
        <is>
          <t>jo</t>
        </is>
      </c>
      <c r="L91" s="25" t="inlineStr">
        <is>
          <t>Dy role të sakta nga 4+ (Menaxher Strategjik, Inxhinier i Avancuar i Sistemeve Industriale); mungojnë konsulent ndërkombëtar, inxhinier teknologjish të reja etj.</t>
        </is>
      </c>
    </row>
    <row r="92" ht="35.05" customHeight="1" s="19">
      <c r="A92" s="23" t="n">
        <v>19</v>
      </c>
      <c r="B92" s="23" t="inlineStr">
        <is>
          <t>A</t>
        </is>
      </c>
      <c r="C92" s="23" t="inlineStr">
        <is>
          <t>po</t>
        </is>
      </c>
      <c r="D92" s="23" t="inlineStr">
        <is>
          <t>Në cilat sektorë mund të punësohet një inxhinier elektrik me Master Shkencor?</t>
        </is>
      </c>
      <c r="E92" s="23" t="inlineStr">
        <is>
          <t>Prodhim dhe shpërndarje energjie; industri mekanike dhe transporti; prodhim dhe mirëmbajtje; administratë publike; këshillim</t>
        </is>
      </c>
      <c r="F92" s="23" t="n">
        <v>1</v>
      </c>
      <c r="G92" s="23" t="inlineStr">
        <is>
          <t>(Teksti i përgjigjes së ekzekutimit origjinal nuk është i disponueshëm – vlerësimi është marrë nga Shtojca A.)</t>
        </is>
      </c>
      <c r="H92" s="23" t="n"/>
      <c r="I92" s="23" t="n">
        <v>5.43</v>
      </c>
      <c r="J92" s="24" t="inlineStr">
        <is>
          <t>E saktë</t>
        </is>
      </c>
      <c r="K92" s="24" t="inlineStr">
        <is>
          <t>jo</t>
        </is>
      </c>
      <c r="L92" s="23" t="n"/>
    </row>
    <row r="93" ht="303.7" customHeight="1" s="19">
      <c r="A93" s="25" t="n">
        <v>19</v>
      </c>
      <c r="B93" s="25" t="inlineStr">
        <is>
          <t>A</t>
        </is>
      </c>
      <c r="C93" s="25" t="inlineStr">
        <is>
          <t>po</t>
        </is>
      </c>
      <c r="D93" s="25" t="inlineStr">
        <is>
          <t>Në cilat sektorë mund të punësohet një inxhinier elektrik me Master Shkencor?</t>
        </is>
      </c>
      <c r="E93" s="25" t="inlineStr">
        <is>
          <t>Prodhim dhe shpërndarje energjie; industri mekanike dhe transporti; prodhim dhe mirëmbajtje; administratë publike; këshillim</t>
        </is>
      </c>
      <c r="F93" s="25" t="n">
        <v>2</v>
      </c>
      <c r="G93" s="25" t="inlineStr">
        <is>
          <t>Një inxhinier elektrik me Master Shkencor mund të punësohet në sektorët e mëposhtëm:
1. **Industritë që merren me prodhimin dhe shpërndarjen e energjisë elektrike**: në kompanitë që merren me prodhimin, transmetimin dhe shpërndarjen e energjisë elektrike, duke kontribuar në zhvillimin dhe mirëmbajtjen e sistemeve të energjisë.
2. **Industritë e mekanikës dhe transportit**: që përdorin sisteme elektrike në procese mekanike dhe të transportit, duke kontribuar në përmirësimin e efikasitetit dhe teknologjive të reja në këto fusha.
3. **Sektorët e prodhimit dhe mirëmbajtjes së sistemeve**: në sektorët e prodhimit, instalimeve, testimeve dhe mirëmbajtjes, si dhe menaxhimin e linjave dhe reparteve të prodhimit, duke siguruar funksionimin optimal të pajisjeve dhe sistemeve elektrike.
4. **Kompanitë për prodhimin dhe përpunimin e materialeve**: në kompani që merren me prodhimin dhe përpunimin e metaleve, polimereve, qeramikave, qelqit dhe kompoziteve, ku inxhinierët elektrikë kontribuojnë në zhvillimin e sistemeve të energjisë dhe kontrollit të proceseve.
5. **Administratë publike dhe menaxhimi i shërbimeve**: në administratën publike, në nivel vendor ose qendror, për të menaxhuar dhe monitoruar shërbimet publike si dhe për të mbikëqyrur kompanitë e shërbimeve komunale dhe infrastruktura elektrike.
6. **Këshillim dhe shërbime teknike për subjekte publike dhe private**: si profesionistë të lirë, duke ofruar shërbime këshillimi dhe asistencë teknike për projekte në sektorët publik dhe privat. (Master i Shkencave në Inxhinieri Elektrike, f. 3).</t>
        </is>
      </c>
      <c r="H93" s="25" t="inlineStr">
        <is>
          <t>IV_c-INXHINIERI-ELEKTRIKE_MSH-2.pdf (f. 3, 2) | IV_c-INXHINIERI-MEKANIKE_MSH.pdf (f. 3)</t>
        </is>
      </c>
      <c r="I93" s="25" t="n">
        <v>5.6</v>
      </c>
      <c r="J93" s="26" t="inlineStr">
        <is>
          <t>E saktë</t>
        </is>
      </c>
      <c r="K93" s="26" t="inlineStr">
        <is>
          <t>jo</t>
        </is>
      </c>
      <c r="L93" s="25" t="n"/>
    </row>
    <row r="94" ht="303.7" customHeight="1" s="19">
      <c r="A94" s="25" t="n">
        <v>19</v>
      </c>
      <c r="B94" s="25" t="inlineStr">
        <is>
          <t>A</t>
        </is>
      </c>
      <c r="C94" s="25" t="inlineStr">
        <is>
          <t>po</t>
        </is>
      </c>
      <c r="D94" s="25" t="inlineStr">
        <is>
          <t>Në cilat sektorë mund të punësohet një inxhinier elektrik me Master Shkencor?</t>
        </is>
      </c>
      <c r="E94" s="25" t="inlineStr">
        <is>
          <t>Prodhim dhe shpërndarje energjie; industri mekanike dhe transporti; prodhim dhe mirëmbajtje; administratë publike; këshillim</t>
        </is>
      </c>
      <c r="F94" s="25" t="n">
        <v>3</v>
      </c>
      <c r="G94" s="25" t="inlineStr">
        <is>
          <t>Një inxhinier elektrik me Master Shkencor mund të punësohet në sektorët e mëposhtëm:
1. **Industria e energjisë elektrike**: Në kompanitë që merren me prodhimin, transmetimin dhe shpërndarjen e energjisë elektrike, duke kontribuar në zhvillimin dhe mirëmbajtjen e sistemeve të energjisë (Master i Shkencave në Inxhinieri Elektrike, f. 3).
2. **Industria e mekanikës dhe transportit**: Në sektorët që përdorin sisteme elektrike në procese mekanike dhe të transportit, duke kontribuar në përmirësimin e efikasitetit dhe teknologjive të reja (Master i Shkencave në Inxhinieri Elektrike, f. 3).
3. **Prodhimi dhe mirëmbajtja e sistemeve**: Në sektorët e prodhimit, instalimeve, testimeve dhe mirëmbajtjes, si dhe menaxhimin e linjave dhe reparteve të prodhimit (Master i Shkencave në Inxhinieri Elektrike, f. 3).
4. **Prodhimi dhe përpunimi i materialeve**: Në kompani që merren me prodhimin dhe përpunimin e metaleve, polimereve, qeramikave, qelqit dhe kompoziteve (Master i Shkencave në Inxhinieri Elektrike, f. 3).
5. **Administrata publike**: Në administratën publike, në nivel vendor ose qendror, për të menaxhuar dhe monitoruar shërbimet publike dhe infrastruktura elektrike (Master i Shkencave në Inxhinieri Elektrike, f. 3).
6. **Këshillim dhe shërbime teknike**: Si profesionistë të lirë, duke ofruar shërbime këshillimi dhe asistencë teknike për projekte në sektorët publik dhe privat (Master i Shkencave në Inxhinieri Elektrike, f. 3).</t>
        </is>
      </c>
      <c r="H94" s="25" t="inlineStr">
        <is>
          <t>IV_c-INXHINIERI-ELEKTRIKE_MSH-2.pdf (f. 3, 2) | IV_c-INXHINIERI-MEKANIKE_MSH.pdf (f. 3)</t>
        </is>
      </c>
      <c r="I94" s="25" t="n">
        <v>4.2</v>
      </c>
      <c r="J94" s="26" t="inlineStr">
        <is>
          <t>E saktë</t>
        </is>
      </c>
      <c r="K94" s="26" t="inlineStr">
        <is>
          <t>jo</t>
        </is>
      </c>
      <c r="L94" s="25" t="n"/>
    </row>
    <row r="95" ht="225.35" customHeight="1" s="19">
      <c r="A95" s="25" t="n">
        <v>19</v>
      </c>
      <c r="B95" s="25" t="inlineStr">
        <is>
          <t>A</t>
        </is>
      </c>
      <c r="C95" s="25" t="inlineStr">
        <is>
          <t>po</t>
        </is>
      </c>
      <c r="D95" s="25" t="inlineStr">
        <is>
          <t>Në cilat sektorë mund të punësohet një inxhinier elektrik me Master Shkencor?</t>
        </is>
      </c>
      <c r="E95" s="25" t="inlineStr">
        <is>
          <t>Prodhim dhe shpërndarje energjie; industri mekanike dhe transporti; prodhim dhe mirëmbajtje; administratë publike; këshillim</t>
        </is>
      </c>
      <c r="F95" s="25" t="n">
        <v>4</v>
      </c>
      <c r="G95" s="25" t="inlineStr">
        <is>
          <t>Një inxhinier elektrik me Master Shkencor mund të punësohet në sektorët e mëposhtëm:
1. **Industria e energjisë elektrike**: Në kompanitë që merren me prodhimin, transmetimin dhe shpërndarjen e energjisë elektrike, duke kontribuar në zhvillimin dhe mirëmbajtjen e sistemeve të energjisë.
2. **Industria e mekanikës dhe transportit**: Përdorimi i sistemeve elektrike në procese mekanike dhe të transportit, duke kontribuar në përmirësimin e efikasitetit dhe teknologjive të reja.
3. **Sektorët e prodhimit dhe mirëmbajtjes së sistemeve**: Në sektorët e prodhimit, instalimeve, testimeve dhe mirëmbajtjes, si dhe menaxhimin e linjave dhe reparteve të prodhimit.
4. **Kompanitë për prodhimin dhe përpunimin e materialeve**: Në kompani që merren me prodhimin dhe përpunimin e metaleve, polimereve, qeramikave, qelqit dhe kompoziteve.
5. **Administratë publike dhe menaxhimi i shërbimeve**: Në administratën publike për të menaxhuar dhe monitoruar shërbimet publike.
6. **Këshillim dhe shërbime teknike**: Si profesionistë të lirë, duke ofruar shërbime këshillimi dhe asistencë teknike për projekte në sektorët publik dhe privat. (Master i Shkencave në Inxhinieri Elektrike, f. 3)</t>
        </is>
      </c>
      <c r="H95" s="25" t="inlineStr">
        <is>
          <t>IV_c-INXHINIERI-ELEKTRIKE_MSH-2.pdf (f. 3, 2) | IV_c-INXHINIERI-MEKANIKE_MSH.pdf (f. 3)</t>
        </is>
      </c>
      <c r="I95" s="25" t="n">
        <v>4.45</v>
      </c>
      <c r="J95" s="26" t="inlineStr">
        <is>
          <t>E saktë</t>
        </is>
      </c>
      <c r="K95" s="26" t="inlineStr">
        <is>
          <t>jo</t>
        </is>
      </c>
      <c r="L95" s="25" t="n"/>
    </row>
    <row r="96" ht="314.9" customHeight="1" s="19">
      <c r="A96" s="25" t="n">
        <v>19</v>
      </c>
      <c r="B96" s="25" t="inlineStr">
        <is>
          <t>A</t>
        </is>
      </c>
      <c r="C96" s="25" t="inlineStr">
        <is>
          <t>po</t>
        </is>
      </c>
      <c r="D96" s="25" t="inlineStr">
        <is>
          <t>Në cilat sektorë mund të punësohet një inxhinier elektrik me Master Shkencor?</t>
        </is>
      </c>
      <c r="E96" s="25" t="inlineStr">
        <is>
          <t>Prodhim dhe shpërndarje energjie; industri mekanike dhe transporti; prodhim dhe mirëmbajtje; administratë publike; këshillim</t>
        </is>
      </c>
      <c r="F96" s="25" t="n">
        <v>5</v>
      </c>
      <c r="G96" s="25" t="inlineStr">
        <is>
          <t>Një inxhinier elektrik me Master Shkencor mund të punësohet në sektorët e mëposhtëm:
1. **Industria e energjisë elektrike**: Në kompanitë që merren me prodhimin, transmetimin dhe shpërndarjen e energjisë elektrike, duke kontribuar në zhvillimin dhe mirëmbajtjen e sistemeve të energjisë (Master i Shkencave në Inxhinieri Elektrike, f. 3).
2. **Industria e mekanikës dhe transportit**: Në sektorët që përdorin sisteme elektrike në procese mekanike dhe të transportit, duke kontribuar në përmirësimin e efikasitetit dhe teknologjive të reja (Master i Shkencave në Inxhinieri Elektrike, f. 3).
3. **Prodhimi dhe mirëmbajtja e sistemeve**: Në sektorët e prodhimit, instalimeve, testimeve dhe mirëmbajtjes, si dhe menaxhimin e linjave dhe reparteve të prodhimit (Master i Shkencave në Inxhinieri Elektrike, f. 3).
4. **Prodhimi dhe përpunimi i materialeve**: Në kompani që merren me prodhimin dhe përpunimin e metaleve, polimereve, qeramikave, qelqit dhe kompoziteve (Master i Shkencave në Inxhinieri Elektrike, f. 3).
5. **Administratë publike dhe menaxhimi i shërbimeve**: Në administratën publike, për të menaxhuar dhe monitoruar shërbimet publike dhe për të mbikëqyrur kompanitë e shërbimeve komunale dhe infrastruktura elektrike (Master i Shkencave në Inxhinieri Elektrike, f. 3).
6. **Këshillim dhe shërbime teknike**: Si profesionistë të lirë, duke ofruar shërbime këshillimi dhe asistencë teknike për projekte në sektorët publik dhe privat (Master i Shkencave në Inxhinieri Elektrike, f. 3).</t>
        </is>
      </c>
      <c r="H96" s="25" t="inlineStr">
        <is>
          <t>IV_c-INXHINIERI-ELEKTRIKE_MSH-2.pdf (f. 3, 2) | IV_c-INXHINIERI-MEKANIKE_MSH.pdf (f. 3)</t>
        </is>
      </c>
      <c r="I96" s="25" t="n">
        <v>4.71</v>
      </c>
      <c r="J96" s="26" t="inlineStr">
        <is>
          <t>E saktë</t>
        </is>
      </c>
      <c r="K96" s="26" t="inlineStr">
        <is>
          <t>jo</t>
        </is>
      </c>
      <c r="L96" s="25" t="n"/>
    </row>
    <row r="97" ht="35.05" customHeight="1" s="19">
      <c r="A97" s="23" t="n">
        <v>20</v>
      </c>
      <c r="B97" s="23" t="inlineStr">
        <is>
          <t>A</t>
        </is>
      </c>
      <c r="C97" s="23" t="inlineStr">
        <is>
          <t>po</t>
        </is>
      </c>
      <c r="D97" s="23" t="inlineStr">
        <is>
          <t>A mund të pajiset me licencë një i diplomuar në Master Inxhinieri Ndërtimi?</t>
        </is>
      </c>
      <c r="E97" s="23" t="inlineStr">
        <is>
          <t>Po; sipas kuadrit ligjor në fuqi</t>
        </is>
      </c>
      <c r="F97" s="23" t="n">
        <v>1</v>
      </c>
      <c r="G97" s="23" t="inlineStr">
        <is>
          <t>(Teksti i përgjigjes së ekzekutimit origjinal nuk është i disponueshëm – vlerësimi është marrë nga Shtojca A.)</t>
        </is>
      </c>
      <c r="H97" s="23" t="n"/>
      <c r="I97" s="23" t="n">
        <v>2.2</v>
      </c>
      <c r="J97" s="24" t="inlineStr">
        <is>
          <t>E saktë</t>
        </is>
      </c>
      <c r="K97" s="24" t="inlineStr">
        <is>
          <t>jo</t>
        </is>
      </c>
      <c r="L97" s="23" t="n"/>
    </row>
    <row r="98" ht="46.25" customHeight="1" s="19">
      <c r="A98" s="25" t="n">
        <v>20</v>
      </c>
      <c r="B98" s="25" t="inlineStr">
        <is>
          <t>A</t>
        </is>
      </c>
      <c r="C98" s="25" t="inlineStr">
        <is>
          <t>po</t>
        </is>
      </c>
      <c r="D98" s="25" t="inlineStr">
        <is>
          <t>A mund të pajiset me licencë një i diplomuar në Master Inxhinieri Ndërtimi?</t>
        </is>
      </c>
      <c r="E98" s="25" t="inlineStr">
        <is>
          <t>Po; sipas kuadrit ligjor në fuqi</t>
        </is>
      </c>
      <c r="F98" s="25" t="n">
        <v>2</v>
      </c>
      <c r="G98" s="25" t="inlineStr">
        <is>
          <t>Po, mbajtësi i diplomës në Masterin e Shkencave në Inxhinieri Ndërtimi gëzon të drejtën të pajiset me licencë referuar kuadrit ligjor në fuqi, për të kryer shërbime dhe këshillim teknik ndaj subjekteve publike apo private, si profesionistë të lirë në fushën e ndërtimit (Master i Shkencave në Inxhinieri Ndërtimi, f. 2).</t>
        </is>
      </c>
      <c r="H98" s="25" t="inlineStr">
        <is>
          <t>IV_b-INXHINIERI-NDERTIMI_MSH.pdf (f. 2) | IV_c-INXHINIERI-MEKANIKE_MSH.pdf (f. 3, 1)</t>
        </is>
      </c>
      <c r="I98" s="25" t="n">
        <v>1.87</v>
      </c>
      <c r="J98" s="26" t="inlineStr">
        <is>
          <t>E saktë</t>
        </is>
      </c>
      <c r="K98" s="26" t="inlineStr">
        <is>
          <t>jo</t>
        </is>
      </c>
      <c r="L98" s="25" t="n"/>
    </row>
    <row r="99" ht="46.25" customHeight="1" s="19">
      <c r="A99" s="27" t="n">
        <v>20</v>
      </c>
      <c r="B99" s="27" t="inlineStr">
        <is>
          <t>A</t>
        </is>
      </c>
      <c r="C99" s="27" t="inlineStr">
        <is>
          <t>po</t>
        </is>
      </c>
      <c r="D99" s="27" t="inlineStr">
        <is>
          <t>A mund të pajiset me licencë një i diplomuar në Master Inxhinieri Ndërtimi?</t>
        </is>
      </c>
      <c r="E99" s="27" t="inlineStr">
        <is>
          <t>Po; sipas kuadrit ligjor në fuqi</t>
        </is>
      </c>
      <c r="F99" s="27" t="n">
        <v>3</v>
      </c>
      <c r="G99" s="27" t="inlineStr">
        <is>
          <t>Po, mbajtësi i diplomës në Masterin e Shkencave në Inxhinieri Ndërtimi gëzon të drejtën të pajiset me licencë referuar kuadrit ligjor në fuqi, për të kryer shërbime dhe këshillim teknik ndaj subjekteve publike apo private, si profesionistë të lirë në fushën e ndërtimit (Master i Shkencave në Inxhinieri Ndërtimi, f. 2).</t>
        </is>
      </c>
      <c r="H99" s="27" t="inlineStr">
        <is>
          <t>IV_b-INXHINIERI-NDERTIMI_MSH.pdf (f. 2) | IV_c-INXHINIERI-MEKANIKE_MSH.pdf (f. 3, 1)</t>
        </is>
      </c>
      <c r="I99" s="27" t="n">
        <v>1.56</v>
      </c>
      <c r="J99" s="27">
        <f>J98</f>
        <v/>
      </c>
      <c r="K99" s="27">
        <f>K98</f>
        <v/>
      </c>
      <c r="L99" s="27" t="inlineStr">
        <is>
          <t>Pothuajse identike me ekzekutimin 2</t>
        </is>
      </c>
    </row>
    <row r="100" ht="46.25" customHeight="1" s="19">
      <c r="A100" s="27" t="n">
        <v>20</v>
      </c>
      <c r="B100" s="27" t="inlineStr">
        <is>
          <t>A</t>
        </is>
      </c>
      <c r="C100" s="27" t="inlineStr">
        <is>
          <t>po</t>
        </is>
      </c>
      <c r="D100" s="27" t="inlineStr">
        <is>
          <t>A mund të pajiset me licencë një i diplomuar në Master Inxhinieri Ndërtimi?</t>
        </is>
      </c>
      <c r="E100" s="27" t="inlineStr">
        <is>
          <t>Po; sipas kuadrit ligjor në fuqi</t>
        </is>
      </c>
      <c r="F100" s="27" t="n">
        <v>4</v>
      </c>
      <c r="G100" s="27" t="inlineStr">
        <is>
          <t>Po, mbajtësi i diplomës në Masterin e Shkencave në Inxhinieri Ndërtimi gëzon të drejtën të pajiset me licencë referuar kuadrit ligjor në fuqi, për të kryer shërbime dhe këshillim teknik ndaj subjekteve publike apo private, si profesionistë të lirë në fushën e ndërtimit (Master i Shkencave në Inxhinieri Ndërtimi, f. 2).</t>
        </is>
      </c>
      <c r="H100" s="27" t="inlineStr">
        <is>
          <t>IV_b-INXHINIERI-NDERTIMI_MSH.pdf (f. 2) | IV_c-INXHINIERI-MEKANIKE_MSH.pdf (f. 3, 1)</t>
        </is>
      </c>
      <c r="I100" s="27" t="n">
        <v>1.95</v>
      </c>
      <c r="J100" s="27">
        <f>J98</f>
        <v/>
      </c>
      <c r="K100" s="27">
        <f>K98</f>
        <v/>
      </c>
      <c r="L100" s="27" t="inlineStr">
        <is>
          <t>Pothuajse identike me ekzekutimin 2</t>
        </is>
      </c>
    </row>
    <row r="101" ht="46.25" customHeight="1" s="19">
      <c r="A101" s="27" t="n">
        <v>20</v>
      </c>
      <c r="B101" s="27" t="inlineStr">
        <is>
          <t>A</t>
        </is>
      </c>
      <c r="C101" s="27" t="inlineStr">
        <is>
          <t>po</t>
        </is>
      </c>
      <c r="D101" s="27" t="inlineStr">
        <is>
          <t>A mund të pajiset me licencë një i diplomuar në Master Inxhinieri Ndërtimi?</t>
        </is>
      </c>
      <c r="E101" s="27" t="inlineStr">
        <is>
          <t>Po; sipas kuadrit ligjor në fuqi</t>
        </is>
      </c>
      <c r="F101" s="27" t="n">
        <v>5</v>
      </c>
      <c r="G101" s="27" t="inlineStr">
        <is>
          <t>Po, mbajtësi i diplomës në Masterin e Shkencave në Inxhinieri Ndërtimi gëzon të drejtën të pajiset me licencë referuar kuadrit ligjor në fuqi, për të kryer shërbime dhe këshillim teknik ndaj subjekteve publike apo private, si profesionistë të lirë në fushën e ndërtimit (Master i Shkencave në Inxhinieri Ndërtimi, f. 2).</t>
        </is>
      </c>
      <c r="H101" s="27" t="inlineStr">
        <is>
          <t>IV_b-INXHINIERI-NDERTIMI_MSH.pdf (f. 2) | IV_c-INXHINIERI-MEKANIKE_MSH.pdf (f. 3, 1)</t>
        </is>
      </c>
      <c r="I101" s="27" t="n">
        <v>1.76</v>
      </c>
      <c r="J101" s="27">
        <f>J98</f>
        <v/>
      </c>
      <c r="K101" s="27">
        <f>K98</f>
        <v/>
      </c>
      <c r="L101" s="27" t="inlineStr">
        <is>
          <t>Pothuajse identike me ekzekutimin 2</t>
        </is>
      </c>
    </row>
    <row r="102" ht="23.85" customHeight="1" s="19">
      <c r="A102" s="23" t="n">
        <v>21</v>
      </c>
      <c r="B102" s="23" t="inlineStr">
        <is>
          <t>B</t>
        </is>
      </c>
      <c r="C102" s="23" t="inlineStr">
        <is>
          <t>jo</t>
        </is>
      </c>
      <c r="D102" s="23" t="inlineStr">
        <is>
          <t>Sa është tarifa vjetore e programit Master në Teknologji Informacioni?</t>
        </is>
      </c>
      <c r="E102" s="23" t="inlineStr">
        <is>
          <t>Nuk ka përgjigje në dokumente</t>
        </is>
      </c>
      <c r="F102" s="23" t="n">
        <v>1</v>
      </c>
      <c r="G102" s="23" t="inlineStr">
        <is>
          <t>(Teksti i përgjigjes së ekzekutimit origjinal nuk është i disponueshëm – vlerësimi është marrë nga Shtojca A.)</t>
        </is>
      </c>
      <c r="H102" s="23" t="n"/>
      <c r="I102" s="23" t="n">
        <v>1.48</v>
      </c>
      <c r="J102" s="24" t="inlineStr">
        <is>
          <t>E saktë</t>
        </is>
      </c>
      <c r="K102" s="24" t="inlineStr">
        <is>
          <t>jo</t>
        </is>
      </c>
      <c r="L102" s="23" t="n"/>
    </row>
    <row r="103" ht="68.65000000000001" customHeight="1" s="19">
      <c r="A103" s="25" t="n">
        <v>21</v>
      </c>
      <c r="B103" s="25" t="inlineStr">
        <is>
          <t>B</t>
        </is>
      </c>
      <c r="C103" s="25" t="inlineStr">
        <is>
          <t>jo</t>
        </is>
      </c>
      <c r="D103" s="25" t="inlineStr">
        <is>
          <t>Sa është tarifa vjetore e programit Master në Teknologji Informacioni?</t>
        </is>
      </c>
      <c r="E103" s="25" t="inlineStr">
        <is>
          <t>Nuk ka përgjigje në dokumente</t>
        </is>
      </c>
      <c r="F103" s="25" t="n">
        <v>2</v>
      </c>
      <c r="G103" s="25" t="inlineStr">
        <is>
          <t>Nuk e gjej këtë informacion në dokumentet e disponueshme. Të lutem kontakto administratën e UET-së për detaje mbi tarifat vjetore.</t>
        </is>
      </c>
      <c r="H103" s="25" t="inlineStr">
        <is>
          <t>MSH-Informatike-Ekonomike-AL.pdf (f. 2, 1) | MSc_-Teknologji-Informacioni.pdf (f. 1) | MP-Teknologji-Informacioni-e-Aplikuar-ne-Finance.pdf (f. 1)</t>
        </is>
      </c>
      <c r="I103" s="25" t="n">
        <v>2.14</v>
      </c>
      <c r="J103" s="26" t="inlineStr">
        <is>
          <t>E saktë</t>
        </is>
      </c>
      <c r="K103" s="26" t="inlineStr">
        <is>
          <t>jo</t>
        </is>
      </c>
      <c r="L103" s="25" t="n"/>
    </row>
    <row r="104" ht="68.65000000000001" customHeight="1" s="19">
      <c r="A104" s="27" t="n">
        <v>21</v>
      </c>
      <c r="B104" s="27" t="inlineStr">
        <is>
          <t>B</t>
        </is>
      </c>
      <c r="C104" s="27" t="inlineStr">
        <is>
          <t>jo</t>
        </is>
      </c>
      <c r="D104" s="27" t="inlineStr">
        <is>
          <t>Sa është tarifa vjetore e programit Master në Teknologji Informacioni?</t>
        </is>
      </c>
      <c r="E104" s="27" t="inlineStr">
        <is>
          <t>Nuk ka përgjigje në dokumente</t>
        </is>
      </c>
      <c r="F104" s="27" t="n">
        <v>3</v>
      </c>
      <c r="G104" s="27" t="inlineStr">
        <is>
          <t>Nuk e gjej këtë informacion në dokumentet e disponueshme. Të lutem kontakto administratën e UET-së për detaje mbi tarifat vjetore.</t>
        </is>
      </c>
      <c r="H104" s="27" t="inlineStr">
        <is>
          <t>MSH-Informatike-Ekonomike-AL.pdf (f. 2, 1) | MSc_-Teknologji-Informacioni.pdf (f. 1) | MP-Teknologji-Informacioni-e-Aplikuar-ne-Finance.pdf (f. 1)</t>
        </is>
      </c>
      <c r="I104" s="27" t="n">
        <v>1.25</v>
      </c>
      <c r="J104" s="27">
        <f>J103</f>
        <v/>
      </c>
      <c r="K104" s="27">
        <f>K103</f>
        <v/>
      </c>
      <c r="L104" s="27" t="inlineStr">
        <is>
          <t>Pothuajse identike me ekzekutimin 2</t>
        </is>
      </c>
    </row>
    <row r="105" ht="68.65000000000001" customHeight="1" s="19">
      <c r="A105" s="27" t="n">
        <v>21</v>
      </c>
      <c r="B105" s="27" t="inlineStr">
        <is>
          <t>B</t>
        </is>
      </c>
      <c r="C105" s="27" t="inlineStr">
        <is>
          <t>jo</t>
        </is>
      </c>
      <c r="D105" s="27" t="inlineStr">
        <is>
          <t>Sa është tarifa vjetore e programit Master në Teknologji Informacioni?</t>
        </is>
      </c>
      <c r="E105" s="27" t="inlineStr">
        <is>
          <t>Nuk ka përgjigje në dokumente</t>
        </is>
      </c>
      <c r="F105" s="27" t="n">
        <v>4</v>
      </c>
      <c r="G105" s="27" t="inlineStr">
        <is>
          <t>Nuk e gjej këtë informacion në dokumentet e disponueshme. Të lutem kontakto administratën e UET-së për detaje mbi tarifat vjetore.</t>
        </is>
      </c>
      <c r="H105" s="27" t="inlineStr">
        <is>
          <t>MSH-Informatike-Ekonomike-AL.pdf (f. 2, 1) | MSc_-Teknologji-Informacioni.pdf (f. 1) | MP-Teknologji-Informacioni-e-Aplikuar-ne-Finance.pdf (f. 1)</t>
        </is>
      </c>
      <c r="I105" s="27" t="n">
        <v>1.28</v>
      </c>
      <c r="J105" s="27">
        <f>J103</f>
        <v/>
      </c>
      <c r="K105" s="27">
        <f>K103</f>
        <v/>
      </c>
      <c r="L105" s="27" t="inlineStr">
        <is>
          <t>Pothuajse identike me ekzekutimin 2</t>
        </is>
      </c>
    </row>
    <row r="106" ht="68.65000000000001" customHeight="1" s="19">
      <c r="A106" s="27" t="n">
        <v>21</v>
      </c>
      <c r="B106" s="27" t="inlineStr">
        <is>
          <t>B</t>
        </is>
      </c>
      <c r="C106" s="27" t="inlineStr">
        <is>
          <t>jo</t>
        </is>
      </c>
      <c r="D106" s="27" t="inlineStr">
        <is>
          <t>Sa është tarifa vjetore e programit Master në Teknologji Informacioni?</t>
        </is>
      </c>
      <c r="E106" s="27" t="inlineStr">
        <is>
          <t>Nuk ka përgjigje në dokumente</t>
        </is>
      </c>
      <c r="F106" s="27" t="n">
        <v>5</v>
      </c>
      <c r="G106" s="27" t="inlineStr">
        <is>
          <t>Nuk e gjej këtë informacion në dokumentet e disponueshme. Të lutem kontakto administratën e UET-së për detaje mbi tarifat vjetore.</t>
        </is>
      </c>
      <c r="H106" s="27" t="inlineStr">
        <is>
          <t>MSH-Informatike-Ekonomike-AL.pdf (f. 2, 1) | MSc_-Teknologji-Informacioni.pdf (f. 1) | MP-Teknologji-Informacioni-e-Aplikuar-ne-Finance.pdf (f. 1)</t>
        </is>
      </c>
      <c r="I106" s="27" t="n">
        <v>1.1</v>
      </c>
      <c r="J106" s="27">
        <f>J103</f>
        <v/>
      </c>
      <c r="K106" s="27">
        <f>K103</f>
        <v/>
      </c>
      <c r="L106" s="27" t="inlineStr">
        <is>
          <t>Pothuajse identike me ekzekutimin 2</t>
        </is>
      </c>
    </row>
    <row r="107" ht="23.85" customHeight="1" s="19">
      <c r="A107" s="23" t="n">
        <v>22</v>
      </c>
      <c r="B107" s="23" t="inlineStr">
        <is>
          <t>B</t>
        </is>
      </c>
      <c r="C107" s="23" t="inlineStr">
        <is>
          <t>jo</t>
        </is>
      </c>
      <c r="D107" s="23" t="inlineStr">
        <is>
          <t>Deri kur është afati i aplikimit për vitin akademik të ri?</t>
        </is>
      </c>
      <c r="E107" s="23" t="inlineStr">
        <is>
          <t>Nuk ka përgjigje në dokumente</t>
        </is>
      </c>
      <c r="F107" s="23" t="n">
        <v>1</v>
      </c>
      <c r="G107" s="23" t="inlineStr">
        <is>
          <t>(Teksti i përgjigjes së ekzekutimit origjinal nuk është i disponueshëm – vlerësimi është marrë nga Shtojca A.)</t>
        </is>
      </c>
      <c r="H107" s="23" t="n"/>
      <c r="I107" s="23" t="n">
        <v>1.33</v>
      </c>
      <c r="J107" s="24" t="inlineStr">
        <is>
          <t>E saktë</t>
        </is>
      </c>
      <c r="K107" s="24" t="inlineStr">
        <is>
          <t>jo</t>
        </is>
      </c>
      <c r="L107" s="23" t="n"/>
    </row>
    <row r="108" ht="68.65000000000001" customHeight="1" s="19">
      <c r="A108" s="25" t="n">
        <v>22</v>
      </c>
      <c r="B108" s="25" t="inlineStr">
        <is>
          <t>B</t>
        </is>
      </c>
      <c r="C108" s="25" t="inlineStr">
        <is>
          <t>jo</t>
        </is>
      </c>
      <c r="D108" s="25" t="inlineStr">
        <is>
          <t>Deri kur është afati i aplikimit për vitin akademik të ri?</t>
        </is>
      </c>
      <c r="E108" s="25" t="inlineStr">
        <is>
          <t>Nuk ka përgjigje në dokumente</t>
        </is>
      </c>
      <c r="F108" s="25" t="n">
        <v>2</v>
      </c>
      <c r="G108" s="25" t="inlineStr">
        <is>
          <t>Nuk e gjej këtë informacion në dokumentet e disponueshme. Të lutem kontakto administratën e UET-së për detaje mbi afatet e aplikimit.</t>
        </is>
      </c>
      <c r="H108" s="25" t="inlineStr">
        <is>
          <t>MP-Informatike-e-Aplikuar.pdf (f. 1) | MP-Teknologji-Informacioni-e-Aplikuar-ne-Finance.pdf (f. 1) | MSH-Informatike-Ekonomike-AL.pdf (f. 2, 1)</t>
        </is>
      </c>
      <c r="I108" s="25" t="n">
        <v>1.64</v>
      </c>
      <c r="J108" s="26" t="inlineStr">
        <is>
          <t>E saktë</t>
        </is>
      </c>
      <c r="K108" s="26" t="inlineStr">
        <is>
          <t>jo</t>
        </is>
      </c>
      <c r="L108" s="25" t="n"/>
    </row>
    <row r="109" ht="68.65000000000001" customHeight="1" s="19">
      <c r="A109" s="27" t="n">
        <v>22</v>
      </c>
      <c r="B109" s="27" t="inlineStr">
        <is>
          <t>B</t>
        </is>
      </c>
      <c r="C109" s="27" t="inlineStr">
        <is>
          <t>jo</t>
        </is>
      </c>
      <c r="D109" s="27" t="inlineStr">
        <is>
          <t>Deri kur është afati i aplikimit për vitin akademik të ri?</t>
        </is>
      </c>
      <c r="E109" s="27" t="inlineStr">
        <is>
          <t>Nuk ka përgjigje në dokumente</t>
        </is>
      </c>
      <c r="F109" s="27" t="n">
        <v>3</v>
      </c>
      <c r="G109" s="27" t="inlineStr">
        <is>
          <t>Nuk e gjej këtë informacion në dokumentet e disponueshme. Të lutem, kontakto administratën e UET-së për detaje mbi afatet e aplikimit.</t>
        </is>
      </c>
      <c r="H109" s="27" t="inlineStr">
        <is>
          <t>MP-Informatike-e-Aplikuar.pdf (f. 1) | MP-Teknologji-Informacioni-e-Aplikuar-ne-Finance.pdf (f. 1) | MSH-Informatike-Ekonomike-AL.pdf (f. 2, 1)</t>
        </is>
      </c>
      <c r="I109" s="27" t="n">
        <v>1.22</v>
      </c>
      <c r="J109" s="27">
        <f>J108</f>
        <v/>
      </c>
      <c r="K109" s="27">
        <f>K108</f>
        <v/>
      </c>
      <c r="L109" s="27" t="inlineStr">
        <is>
          <t>Pothuajse identike me ekzekutimin 2</t>
        </is>
      </c>
    </row>
    <row r="110" ht="68.65000000000001" customHeight="1" s="19">
      <c r="A110" s="27" t="n">
        <v>22</v>
      </c>
      <c r="B110" s="27" t="inlineStr">
        <is>
          <t>B</t>
        </is>
      </c>
      <c r="C110" s="27" t="inlineStr">
        <is>
          <t>jo</t>
        </is>
      </c>
      <c r="D110" s="27" t="inlineStr">
        <is>
          <t>Deri kur është afati i aplikimit për vitin akademik të ri?</t>
        </is>
      </c>
      <c r="E110" s="27" t="inlineStr">
        <is>
          <t>Nuk ka përgjigje në dokumente</t>
        </is>
      </c>
      <c r="F110" s="27" t="n">
        <v>4</v>
      </c>
      <c r="G110" s="27" t="inlineStr">
        <is>
          <t>Nuk e gjej këtë informacion në dokumentet e disponueshme. Të lutem kontakto administratën e UET-së për detaje mbi afatet e aplikimit.</t>
        </is>
      </c>
      <c r="H110" s="27" t="inlineStr">
        <is>
          <t>MP-Informatike-e-Aplikuar.pdf (f. 1) | MP-Teknologji-Informacioni-e-Aplikuar-ne-Finance.pdf (f. 1) | MSH-Informatike-Ekonomike-AL.pdf (f. 2, 1)</t>
        </is>
      </c>
      <c r="I110" s="27" t="n">
        <v>1.39</v>
      </c>
      <c r="J110" s="27">
        <f>J108</f>
        <v/>
      </c>
      <c r="K110" s="27">
        <f>K108</f>
        <v/>
      </c>
      <c r="L110" s="27" t="inlineStr">
        <is>
          <t>Pothuajse identike me ekzekutimin 2</t>
        </is>
      </c>
    </row>
    <row r="111" ht="68.65000000000001" customHeight="1" s="19">
      <c r="A111" s="27" t="n">
        <v>22</v>
      </c>
      <c r="B111" s="27" t="inlineStr">
        <is>
          <t>B</t>
        </is>
      </c>
      <c r="C111" s="27" t="inlineStr">
        <is>
          <t>jo</t>
        </is>
      </c>
      <c r="D111" s="27" t="inlineStr">
        <is>
          <t>Deri kur është afati i aplikimit për vitin akademik të ri?</t>
        </is>
      </c>
      <c r="E111" s="27" t="inlineStr">
        <is>
          <t>Nuk ka përgjigje në dokumente</t>
        </is>
      </c>
      <c r="F111" s="27" t="n">
        <v>5</v>
      </c>
      <c r="G111" s="27" t="inlineStr">
        <is>
          <t>Nuk e gjej këtë informacion në dokumentet e disponueshme. Të lutem kontakto administratën e UET-së për detaje mbi afatet e aplikimit.</t>
        </is>
      </c>
      <c r="H111" s="27" t="inlineStr">
        <is>
          <t>MP-Informatike-e-Aplikuar.pdf (f. 1) | MP-Teknologji-Informacioni-e-Aplikuar-ne-Finance.pdf (f. 1) | MSH-Informatike-Ekonomike-AL.pdf (f. 2, 1)</t>
        </is>
      </c>
      <c r="I111" s="27" t="n">
        <v>1.34</v>
      </c>
      <c r="J111" s="27">
        <f>J108</f>
        <v/>
      </c>
      <c r="K111" s="27">
        <f>K108</f>
        <v/>
      </c>
      <c r="L111" s="27" t="inlineStr">
        <is>
          <t>Pothuajse identike me ekzekutimin 2</t>
        </is>
      </c>
    </row>
    <row r="112" ht="23.85" customHeight="1" s="19">
      <c r="A112" s="23" t="n">
        <v>23</v>
      </c>
      <c r="B112" s="23" t="inlineStr">
        <is>
          <t>B</t>
        </is>
      </c>
      <c r="C112" s="23" t="inlineStr">
        <is>
          <t>jo</t>
        </is>
      </c>
      <c r="D112" s="23" t="inlineStr">
        <is>
          <t>Cili është orari i mësimit për semestrin e parë?</t>
        </is>
      </c>
      <c r="E112" s="23" t="inlineStr">
        <is>
          <t>Nuk ka përgjigje në dokumente</t>
        </is>
      </c>
      <c r="F112" s="23" t="n">
        <v>1</v>
      </c>
      <c r="G112" s="23" t="inlineStr">
        <is>
          <t>(Teksti i përgjigjes së ekzekutimit origjinal nuk është i disponueshëm – vlerësimi është marrë nga Shtojca A.)</t>
        </is>
      </c>
      <c r="H112" s="23" t="n"/>
      <c r="I112" s="23" t="n">
        <v>1.23</v>
      </c>
      <c r="J112" s="24" t="inlineStr">
        <is>
          <t>E saktë</t>
        </is>
      </c>
      <c r="K112" s="24" t="inlineStr">
        <is>
          <t>jo</t>
        </is>
      </c>
      <c r="L112" s="23" t="n"/>
    </row>
    <row r="113" ht="91" customHeight="1" s="19">
      <c r="A113" s="25" t="n">
        <v>23</v>
      </c>
      <c r="B113" s="25" t="inlineStr">
        <is>
          <t>B</t>
        </is>
      </c>
      <c r="C113" s="25" t="inlineStr">
        <is>
          <t>jo</t>
        </is>
      </c>
      <c r="D113" s="25" t="inlineStr">
        <is>
          <t>Cili është orari i mësimit për semestrin e parë?</t>
        </is>
      </c>
      <c r="E113" s="25" t="inlineStr">
        <is>
          <t>Nuk ka përgjigje në dokumente</t>
        </is>
      </c>
      <c r="F113" s="25" t="n">
        <v>2</v>
      </c>
      <c r="G113" s="25" t="inlineStr">
        <is>
          <t>Nuk e gjej këtë informacion në dokumentet e disponueshme. Të lutem kontakto administratën e UET-së për detaje mbi orarin e mësimit.</t>
        </is>
      </c>
      <c r="H113" s="25" t="inlineStr">
        <is>
          <t>MSH-Informatike-Ekonomike-AL.pdf (f. 2) | MSH-Finance-AL.pdf (f. 4) | IV_c-INXHINIERI-ELEKTRIKE_MSH-2.pdf (f. 4) | MP-Finance-AL.pdf (f. 4) | IV_c-INXHINIERI-MEKANIKE_MSH.pdf (f. 5)</t>
        </is>
      </c>
      <c r="I113" s="25" t="n">
        <v>1.24</v>
      </c>
      <c r="J113" s="26" t="inlineStr">
        <is>
          <t>E saktë</t>
        </is>
      </c>
      <c r="K113" s="26" t="inlineStr">
        <is>
          <t>jo</t>
        </is>
      </c>
      <c r="L113" s="25" t="n"/>
    </row>
    <row r="114" ht="91" customHeight="1" s="19">
      <c r="A114" s="27" t="n">
        <v>23</v>
      </c>
      <c r="B114" s="27" t="inlineStr">
        <is>
          <t>B</t>
        </is>
      </c>
      <c r="C114" s="27" t="inlineStr">
        <is>
          <t>jo</t>
        </is>
      </c>
      <c r="D114" s="27" t="inlineStr">
        <is>
          <t>Cili është orari i mësimit për semestrin e parë?</t>
        </is>
      </c>
      <c r="E114" s="27" t="inlineStr">
        <is>
          <t>Nuk ka përgjigje në dokumente</t>
        </is>
      </c>
      <c r="F114" s="27" t="n">
        <v>3</v>
      </c>
      <c r="G114" s="27" t="inlineStr">
        <is>
          <t>Nuk e gjej këtë informacion në dokumentet e disponueshme. Të lutem kontakto administratën e UET-së për detaje mbi orarin e mësimit.</t>
        </is>
      </c>
      <c r="H114" s="27" t="inlineStr">
        <is>
          <t>MSH-Informatike-Ekonomike-AL.pdf (f. 2) | MSH-Finance-AL.pdf (f. 4) | IV_c-INXHINIERI-ELEKTRIKE_MSH-2.pdf (f. 4) | MP-Finance-AL.pdf (f. 4) | IV_c-INXHINIERI-MEKANIKE_MSH.pdf (f. 5)</t>
        </is>
      </c>
      <c r="I114" s="27" t="n">
        <v>1.24</v>
      </c>
      <c r="J114" s="27">
        <f>J113</f>
        <v/>
      </c>
      <c r="K114" s="27">
        <f>K113</f>
        <v/>
      </c>
      <c r="L114" s="27" t="inlineStr">
        <is>
          <t>Pothuajse identike me ekzekutimin 2</t>
        </is>
      </c>
    </row>
    <row r="115" ht="91" customHeight="1" s="19">
      <c r="A115" s="27" t="n">
        <v>23</v>
      </c>
      <c r="B115" s="27" t="inlineStr">
        <is>
          <t>B</t>
        </is>
      </c>
      <c r="C115" s="27" t="inlineStr">
        <is>
          <t>jo</t>
        </is>
      </c>
      <c r="D115" s="27" t="inlineStr">
        <is>
          <t>Cili është orari i mësimit për semestrin e parë?</t>
        </is>
      </c>
      <c r="E115" s="27" t="inlineStr">
        <is>
          <t>Nuk ka përgjigje në dokumente</t>
        </is>
      </c>
      <c r="F115" s="27" t="n">
        <v>4</v>
      </c>
      <c r="G115" s="27" t="inlineStr">
        <is>
          <t>Nuk e gjej këtë informacion në dokumentet e disponueshme. Të lutem, kontakto administratën e UET-së për detaje mbi orarin e mësimit.</t>
        </is>
      </c>
      <c r="H115" s="27" t="inlineStr">
        <is>
          <t>MSH-Informatike-Ekonomike-AL.pdf (f. 2) | MSH-Finance-AL.pdf (f. 4) | IV_c-INXHINIERI-ELEKTRIKE_MSH-2.pdf (f. 4) | MP-Finance-AL.pdf (f. 4) | IV_c-INXHINIERI-MEKANIKE_MSH.pdf (f. 5)</t>
        </is>
      </c>
      <c r="I115" s="27" t="n">
        <v>1.27</v>
      </c>
      <c r="J115" s="27">
        <f>J113</f>
        <v/>
      </c>
      <c r="K115" s="27">
        <f>K113</f>
        <v/>
      </c>
      <c r="L115" s="27" t="inlineStr">
        <is>
          <t>Pothuajse identike me ekzekutimin 2</t>
        </is>
      </c>
    </row>
    <row r="116" ht="91" customHeight="1" s="19">
      <c r="A116" s="27" t="n">
        <v>23</v>
      </c>
      <c r="B116" s="27" t="inlineStr">
        <is>
          <t>B</t>
        </is>
      </c>
      <c r="C116" s="27" t="inlineStr">
        <is>
          <t>jo</t>
        </is>
      </c>
      <c r="D116" s="27" t="inlineStr">
        <is>
          <t>Cili është orari i mësimit për semestrin e parë?</t>
        </is>
      </c>
      <c r="E116" s="27" t="inlineStr">
        <is>
          <t>Nuk ka përgjigje në dokumente</t>
        </is>
      </c>
      <c r="F116" s="27" t="n">
        <v>5</v>
      </c>
      <c r="G116" s="27" t="inlineStr">
        <is>
          <t>Nuk e gjej këtë informacion në dokumentet e disponueshme. Të lutem kontakto administratën e UET-së për detaje mbi orarin e mësimit.</t>
        </is>
      </c>
      <c r="H116" s="27" t="inlineStr">
        <is>
          <t>MSH-Informatike-Ekonomike-AL.pdf (f. 2) | MSH-Finance-AL.pdf (f. 4) | IV_c-INXHINIERI-ELEKTRIKE_MSH-2.pdf (f. 4) | MP-Finance-AL.pdf (f. 4) | IV_c-INXHINIERI-MEKANIKE_MSH.pdf (f. 5)</t>
        </is>
      </c>
      <c r="I116" s="27" t="n">
        <v>1.36</v>
      </c>
      <c r="J116" s="27">
        <f>J113</f>
        <v/>
      </c>
      <c r="K116" s="27">
        <f>K113</f>
        <v/>
      </c>
      <c r="L116" s="27" t="inlineStr">
        <is>
          <t>Pothuajse identike me ekzekutimin 2</t>
        </is>
      </c>
    </row>
    <row r="117" ht="23.85" customHeight="1" s="19">
      <c r="A117" s="23" t="n">
        <v>24</v>
      </c>
      <c r="B117" s="23" t="inlineStr">
        <is>
          <t>B</t>
        </is>
      </c>
      <c r="C117" s="23" t="inlineStr">
        <is>
          <t>jo</t>
        </is>
      </c>
      <c r="D117" s="23" t="inlineStr">
        <is>
          <t>Si mund të kontaktoj koordinatorin e programit?</t>
        </is>
      </c>
      <c r="E117" s="23" t="inlineStr">
        <is>
          <t>Nuk ka përgjigje në dokumente</t>
        </is>
      </c>
      <c r="F117" s="23" t="n">
        <v>1</v>
      </c>
      <c r="G117" s="23" t="inlineStr">
        <is>
          <t>(Teksti i përgjigjes së ekzekutimit origjinal nuk është i disponueshëm – vlerësimi është marrë nga Shtojca A.)</t>
        </is>
      </c>
      <c r="H117" s="23" t="n"/>
      <c r="I117" s="23" t="n">
        <v>1.01</v>
      </c>
      <c r="J117" s="24" t="inlineStr">
        <is>
          <t>E saktë</t>
        </is>
      </c>
      <c r="K117" s="24" t="inlineStr">
        <is>
          <t>jo</t>
        </is>
      </c>
      <c r="L117" s="23" t="n"/>
    </row>
    <row r="118" ht="91" customHeight="1" s="19">
      <c r="A118" s="25" t="n">
        <v>24</v>
      </c>
      <c r="B118" s="25" t="inlineStr">
        <is>
          <t>B</t>
        </is>
      </c>
      <c r="C118" s="25" t="inlineStr">
        <is>
          <t>jo</t>
        </is>
      </c>
      <c r="D118" s="25" t="inlineStr">
        <is>
          <t>Si mund të kontaktoj koordinatorin e programit?</t>
        </is>
      </c>
      <c r="E118" s="25" t="inlineStr">
        <is>
          <t>Nuk ka përgjigje në dokumente</t>
        </is>
      </c>
      <c r="F118" s="25" t="n">
        <v>2</v>
      </c>
      <c r="G118" s="25" t="inlineStr">
        <is>
          <t>Nuk e gjej këtë informacion në dokumentet e disponueshme. Të lutem kontakto administratën e UET-së për detaje mbi kontaktet e koordinatorëve të programeve.</t>
        </is>
      </c>
      <c r="H118" s="25" t="inlineStr">
        <is>
          <t>IV_c-INXHINIERI-MEKANIKE_MSH.pdf (f. 2) | MSH-Administrim-Biznesi-AL.pdf (f. 3) | IV_c-INXHINIERI-ELEKTRIKE_MSH-2.pdf (f. 2) | IV_b-INXHINIERI-NDERTIMI_MSH.pdf (f. 1)</t>
        </is>
      </c>
      <c r="I118" s="25" t="n">
        <v>1.32</v>
      </c>
      <c r="J118" s="26" t="inlineStr">
        <is>
          <t>E saktë</t>
        </is>
      </c>
      <c r="K118" s="26" t="inlineStr">
        <is>
          <t>jo</t>
        </is>
      </c>
      <c r="L118" s="25" t="n"/>
    </row>
    <row r="119" ht="91" customHeight="1" s="19">
      <c r="A119" s="25" t="n">
        <v>24</v>
      </c>
      <c r="B119" s="25" t="inlineStr">
        <is>
          <t>B</t>
        </is>
      </c>
      <c r="C119" s="25" t="inlineStr">
        <is>
          <t>jo</t>
        </is>
      </c>
      <c r="D119" s="25" t="inlineStr">
        <is>
          <t>Si mund të kontaktoj koordinatorin e programit?</t>
        </is>
      </c>
      <c r="E119" s="25" t="inlineStr">
        <is>
          <t>Nuk ka përgjigje në dokumente</t>
        </is>
      </c>
      <c r="F119" s="25" t="n">
        <v>3</v>
      </c>
      <c r="G119" s="25" t="inlineStr">
        <is>
          <t>Nuk e gjej këtë informacion në dokumentet e disponueshme. Të lutem, kontakto administratën e UET-së për detaje mbi kontaktet e koordinatorëve të programeve.</t>
        </is>
      </c>
      <c r="H119" s="25" t="inlineStr">
        <is>
          <t>IV_c-INXHINIERI-MEKANIKE_MSH.pdf (f. 2) | MSH-Administrim-Biznesi-AL.pdf (f. 3) | IV_c-INXHINIERI-ELEKTRIKE_MSH-2.pdf (f. 2) | IV_b-INXHINIERI-NDERTIMI_MSH.pdf (f. 1)</t>
        </is>
      </c>
      <c r="I119" s="25" t="n">
        <v>1.17</v>
      </c>
      <c r="J119" s="26" t="inlineStr">
        <is>
          <t>E saktë</t>
        </is>
      </c>
      <c r="K119" s="26" t="inlineStr">
        <is>
          <t>jo</t>
        </is>
      </c>
      <c r="L119" s="25" t="n"/>
    </row>
    <row r="120" ht="91" customHeight="1" s="19">
      <c r="A120" s="25" t="n">
        <v>24</v>
      </c>
      <c r="B120" s="25" t="inlineStr">
        <is>
          <t>B</t>
        </is>
      </c>
      <c r="C120" s="25" t="inlineStr">
        <is>
          <t>jo</t>
        </is>
      </c>
      <c r="D120" s="25" t="inlineStr">
        <is>
          <t>Si mund të kontaktoj koordinatorin e programit?</t>
        </is>
      </c>
      <c r="E120" s="25" t="inlineStr">
        <is>
          <t>Nuk ka përgjigje në dokumente</t>
        </is>
      </c>
      <c r="F120" s="25" t="n">
        <v>4</v>
      </c>
      <c r="G120" s="25" t="inlineStr">
        <is>
          <t>Nuk e gjej këtë informacion në dokumentet e disponueshme. Të lutem, kontakto administratën e UET-së për ndihmë në lidhje me kontaktet e koordinatorëve të programeve.</t>
        </is>
      </c>
      <c r="H120" s="25" t="inlineStr">
        <is>
          <t>IV_c-INXHINIERI-MEKANIKE_MSH.pdf (f. 2) | MSH-Administrim-Biznesi-AL.pdf (f. 3) | IV_c-INXHINIERI-ELEKTRIKE_MSH-2.pdf (f. 2) | IV_b-INXHINIERI-NDERTIMI_MSH.pdf (f. 1)</t>
        </is>
      </c>
      <c r="I120" s="25" t="n">
        <v>1.63</v>
      </c>
      <c r="J120" s="26" t="inlineStr">
        <is>
          <t>E saktë</t>
        </is>
      </c>
      <c r="K120" s="26" t="inlineStr">
        <is>
          <t>jo</t>
        </is>
      </c>
      <c r="L120" s="25" t="n"/>
    </row>
    <row r="121" ht="91" customHeight="1" s="19">
      <c r="A121" s="25" t="n">
        <v>24</v>
      </c>
      <c r="B121" s="25" t="inlineStr">
        <is>
          <t>B</t>
        </is>
      </c>
      <c r="C121" s="25" t="inlineStr">
        <is>
          <t>jo</t>
        </is>
      </c>
      <c r="D121" s="25" t="inlineStr">
        <is>
          <t>Si mund të kontaktoj koordinatorin e programit?</t>
        </is>
      </c>
      <c r="E121" s="25" t="inlineStr">
        <is>
          <t>Nuk ka përgjigje në dokumente</t>
        </is>
      </c>
      <c r="F121" s="25" t="n">
        <v>5</v>
      </c>
      <c r="G121" s="25" t="inlineStr">
        <is>
          <t>Nuk e gjej këtë informacion në dokumentet e disponueshme. Të lutem kontakto administratën e UET-së për ndihmë.</t>
        </is>
      </c>
      <c r="H121" s="25" t="inlineStr">
        <is>
          <t>IV_c-INXHINIERI-MEKANIKE_MSH.pdf (f. 2) | MSH-Administrim-Biznesi-AL.pdf (f. 3) | IV_c-INXHINIERI-ELEKTRIKE_MSH-2.pdf (f. 2) | IV_b-INXHINIERI-NDERTIMI_MSH.pdf (f. 1)</t>
        </is>
      </c>
      <c r="I121" s="25" t="n">
        <v>1.84</v>
      </c>
      <c r="J121" s="26" t="inlineStr">
        <is>
          <t>E saktë</t>
        </is>
      </c>
      <c r="K121" s="26" t="inlineStr">
        <is>
          <t>jo</t>
        </is>
      </c>
      <c r="L121" s="25" t="n"/>
    </row>
    <row r="122" ht="23.85" customHeight="1" s="19">
      <c r="A122" s="23" t="n">
        <v>25</v>
      </c>
      <c r="B122" s="23" t="inlineStr">
        <is>
          <t>B</t>
        </is>
      </c>
      <c r="C122" s="23" t="inlineStr">
        <is>
          <t>jo</t>
        </is>
      </c>
      <c r="D122" s="23" t="inlineStr">
        <is>
          <t>Cilat janë kriteret e pranimit në Bachelor në Drejtësi?</t>
        </is>
      </c>
      <c r="E122" s="23" t="inlineStr">
        <is>
          <t>Nuk ka përgjigje në dokumente</t>
        </is>
      </c>
      <c r="F122" s="23" t="n">
        <v>1</v>
      </c>
      <c r="G122" s="23" t="inlineStr">
        <is>
          <t>(Teksti i përgjigjes së ekzekutimit origjinal nuk është i disponueshëm – vlerësimi është marrë nga Shtojca A.)</t>
        </is>
      </c>
      <c r="H122" s="23" t="n"/>
      <c r="I122" s="23" t="n">
        <v>1.15</v>
      </c>
      <c r="J122" s="24" t="inlineStr">
        <is>
          <t>E saktë</t>
        </is>
      </c>
      <c r="K122" s="24" t="inlineStr">
        <is>
          <t>jo</t>
        </is>
      </c>
      <c r="L122" s="23" t="n"/>
    </row>
    <row r="123" ht="46.25" customHeight="1" s="19">
      <c r="A123" s="25" t="n">
        <v>25</v>
      </c>
      <c r="B123" s="25" t="inlineStr">
        <is>
          <t>B</t>
        </is>
      </c>
      <c r="C123" s="25" t="inlineStr">
        <is>
          <t>jo</t>
        </is>
      </c>
      <c r="D123" s="25" t="inlineStr">
        <is>
          <t>Cilat janë kriteret e pranimit në Bachelor në Drejtësi?</t>
        </is>
      </c>
      <c r="E123" s="25" t="inlineStr">
        <is>
          <t>Nuk ka përgjigje në dokumente</t>
        </is>
      </c>
      <c r="F123" s="25" t="n">
        <v>2</v>
      </c>
      <c r="G123" s="25" t="inlineStr">
        <is>
          <t>Nuk e gjej këtë informacion në dokumentet e disponueshme. Të lutem kontakto administratën e UET-së për detaje mbi kriteret e pranimit në Bachelor në Drejtësi.</t>
        </is>
      </c>
      <c r="H123" s="25" t="inlineStr">
        <is>
          <t>MP-Finance-AL.pdf (f. 4) | MP-Menaxhim-Biznesi-AL.pdf (f. 3) | MSH-Finance-AL.pdf (f. 4, 2)</t>
        </is>
      </c>
      <c r="I123" s="25" t="n">
        <v>1.04</v>
      </c>
      <c r="J123" s="26" t="inlineStr">
        <is>
          <t>E saktë</t>
        </is>
      </c>
      <c r="K123" s="26" t="inlineStr">
        <is>
          <t>jo</t>
        </is>
      </c>
      <c r="L123" s="25" t="n"/>
    </row>
    <row r="124" ht="46.25" customHeight="1" s="19">
      <c r="A124" s="27" t="n">
        <v>25</v>
      </c>
      <c r="B124" s="27" t="inlineStr">
        <is>
          <t>B</t>
        </is>
      </c>
      <c r="C124" s="27" t="inlineStr">
        <is>
          <t>jo</t>
        </is>
      </c>
      <c r="D124" s="27" t="inlineStr">
        <is>
          <t>Cilat janë kriteret e pranimit në Bachelor në Drejtësi?</t>
        </is>
      </c>
      <c r="E124" s="27" t="inlineStr">
        <is>
          <t>Nuk ka përgjigje në dokumente</t>
        </is>
      </c>
      <c r="F124" s="27" t="n">
        <v>3</v>
      </c>
      <c r="G124" s="27" t="inlineStr">
        <is>
          <t>Nuk e gjej këtë informacion në dokumentet e disponueshme. Të lutem kontakto administratën e UET-së për detaje mbi kriteret e pranimit në Bachelor në Drejtësi.</t>
        </is>
      </c>
      <c r="H124" s="27" t="inlineStr">
        <is>
          <t>MP-Finance-AL.pdf (f. 4) | MP-Menaxhim-Biznesi-AL.pdf (f. 3) | MSH-Finance-AL.pdf (f. 4, 2)</t>
        </is>
      </c>
      <c r="I124" s="27" t="n">
        <v>1.42</v>
      </c>
      <c r="J124" s="27">
        <f>J123</f>
        <v/>
      </c>
      <c r="K124" s="27">
        <f>K123</f>
        <v/>
      </c>
      <c r="L124" s="27" t="inlineStr">
        <is>
          <t>Pothuajse identike me ekzekutimin 2</t>
        </is>
      </c>
    </row>
    <row r="125" ht="46.25" customHeight="1" s="19">
      <c r="A125" s="27" t="n">
        <v>25</v>
      </c>
      <c r="B125" s="27" t="inlineStr">
        <is>
          <t>B</t>
        </is>
      </c>
      <c r="C125" s="27" t="inlineStr">
        <is>
          <t>jo</t>
        </is>
      </c>
      <c r="D125" s="27" t="inlineStr">
        <is>
          <t>Cilat janë kriteret e pranimit në Bachelor në Drejtësi?</t>
        </is>
      </c>
      <c r="E125" s="27" t="inlineStr">
        <is>
          <t>Nuk ka përgjigje në dokumente</t>
        </is>
      </c>
      <c r="F125" s="27" t="n">
        <v>4</v>
      </c>
      <c r="G125" s="27" t="inlineStr">
        <is>
          <t>Nuk e gjej këtë informacion në dokumentet e disponueshme. Të lutem kontakto administratën e UET-së për detaje mbi kriteret e pranimit në Bachelor në Drejtësi.</t>
        </is>
      </c>
      <c r="H125" s="27" t="inlineStr">
        <is>
          <t>MP-Finance-AL.pdf (f. 4) | MP-Menaxhim-Biznesi-AL.pdf (f. 3) | MSH-Finance-AL.pdf (f. 4, 2)</t>
        </is>
      </c>
      <c r="I125" s="27" t="n">
        <v>1.52</v>
      </c>
      <c r="J125" s="27">
        <f>J123</f>
        <v/>
      </c>
      <c r="K125" s="27">
        <f>K123</f>
        <v/>
      </c>
      <c r="L125" s="27" t="inlineStr">
        <is>
          <t>Pothuajse identike me ekzekutimin 2</t>
        </is>
      </c>
    </row>
    <row r="126" ht="46.25" customHeight="1" s="19">
      <c r="A126" s="27" t="n">
        <v>25</v>
      </c>
      <c r="B126" s="27" t="inlineStr">
        <is>
          <t>B</t>
        </is>
      </c>
      <c r="C126" s="27" t="inlineStr">
        <is>
          <t>jo</t>
        </is>
      </c>
      <c r="D126" s="27" t="inlineStr">
        <is>
          <t>Cilat janë kriteret e pranimit në Bachelor në Drejtësi?</t>
        </is>
      </c>
      <c r="E126" s="27" t="inlineStr">
        <is>
          <t>Nuk ka përgjigje në dokumente</t>
        </is>
      </c>
      <c r="F126" s="27" t="n">
        <v>5</v>
      </c>
      <c r="G126" s="27" t="inlineStr">
        <is>
          <t>Nuk e gjej këtë informacion në dokumentet e disponueshme. Të lutem kontakto administratën e UET-së për detaje mbi kriteret e pranimit në Bachelor në Drejtësi.</t>
        </is>
      </c>
      <c r="H126" s="27" t="inlineStr">
        <is>
          <t>MP-Finance-AL.pdf (f. 4) | MP-Menaxhim-Biznesi-AL.pdf (f. 3) | MSH-Finance-AL.pdf (f. 4, 2)</t>
        </is>
      </c>
      <c r="I126" s="27" t="n">
        <v>1.23</v>
      </c>
      <c r="J126" s="27">
        <f>J123</f>
        <v/>
      </c>
      <c r="K126" s="27">
        <f>K123</f>
        <v/>
      </c>
      <c r="L126" s="27" t="inlineStr">
        <is>
          <t>Pothuajse identike me ekzekutimin 2</t>
        </is>
      </c>
    </row>
    <row r="127" ht="124.6" customHeight="1" s="19">
      <c r="A127" s="23" t="n">
        <v>26</v>
      </c>
      <c r="B127" s="23" t="inlineStr">
        <is>
          <t>C</t>
        </is>
      </c>
      <c r="C127" s="23" t="inlineStr">
        <is>
          <t>po</t>
        </is>
      </c>
      <c r="D127" s="23" t="inlineStr">
        <is>
          <t>Kam Bachelor në Administrim Biznesi, di SQL dhe Python dhe dua të bëhem Data Engineer. Cilin program më rekomandon?</t>
        </is>
      </c>
      <c r="E127" s="23" t="inlineStr">
        <is>
          <t>Rekomandon programe me lëndë për të dhënat, p.sh. MSH Informatikë Ekonomike, MSc Teknologji Informacioni, MSc Inxhinieri Informatike, MP Informatikë e Aplikuar (profili Menaxhim të dhënash) ose MP TI e Aplikuar në Financë; përmend lëndë si Projektim dhe analizë e bazave të të dhënave, SQL server dhe platformat e raportimit, Menaxhim në Big Data; faktet citohen me burim; gjykimet shënohen si interpretim; pa pikë numerike</t>
        </is>
      </c>
      <c r="F127" s="23" t="n">
        <v>1</v>
      </c>
      <c r="G127" s="23" t="inlineStr">
        <is>
          <t>(Teksti i përgjigjes së ekzekutimit origjinal nuk është i disponueshëm – vlerësimi është marrë nga Shtojca A.)</t>
        </is>
      </c>
      <c r="H127" s="23" t="n"/>
      <c r="I127" s="23" t="n">
        <v>7.77</v>
      </c>
      <c r="J127" s="24" t="inlineStr">
        <is>
          <t>Pjesërisht e saktë</t>
        </is>
      </c>
      <c r="K127" s="24" t="inlineStr">
        <is>
          <t>jo</t>
        </is>
      </c>
      <c r="L127" s="23" t="n"/>
    </row>
    <row r="128" ht="404.45" customHeight="1" s="19">
      <c r="A128" s="25" t="n">
        <v>26</v>
      </c>
      <c r="B128" s="25" t="inlineStr">
        <is>
          <t>C</t>
        </is>
      </c>
      <c r="C128" s="25" t="inlineStr">
        <is>
          <t>po</t>
        </is>
      </c>
      <c r="D128" s="25" t="inlineStr">
        <is>
          <t>Kam Bachelor në Administrim Biznesi, di SQL dhe Python dhe dua të bëhem Data Engineer. Cilin program më rekomandon?</t>
        </is>
      </c>
      <c r="E128" s="25" t="inlineStr">
        <is>
          <t>Rekomandon programe me lëndë për të dhënat, p.sh. MSH Informatikë Ekonomike, MSc Teknologji Informacioni, MSc Inxhinieri Informatike, MP Informatikë e Aplikuar (profili Menaxhim të dhënash) ose MP TI e Aplikuar në Financë; përmend lëndë si Projektim dhe analizë e bazave të të dhënave, SQL server dhe platformat e raportimit, Menaxhim në Big Data; faktet citohen me burim; gjykimet shënohen si interpretim; pa pikë numerike</t>
        </is>
      </c>
      <c r="F128" s="25" t="n">
        <v>2</v>
      </c>
      <c r="G128" s="25" t="inlineStr">
        <is>
          <t>## Rekomandimi
Master i Shkencave në Informatikë Ekonomike
## Pse i përshtatet profilit tënd
- Programi ofron njohuri të thella në sistemet e informacionit dhe zgjidhjen e problemeve ekonomike, që është e rëndësishme për një Data Engineer (Master i Shkencave në Informatikë Ekonomike, f. 1).
- Aftësitë e kërkuara për të punuar me sistemet e operimit dhe menaxhimin e të dhënave janë të përfshira në program, duke u përshtatur me njohuritë tuaja në SQL dhe Python (Master i Shkencave në Informatikë Ekonomike, f. 1).
## Lëndët përkatëse
Nuk e gjej këtë informacion në dokumentet e disponueshme.
## Boshllëqet e aftësive
**Aftësia** — Aktuale: SQL, Python | E kërkuar: nuk specifikohet në dokumente | Mbulohet nga: asnjë lëndë e gjetur | Boshllëku: i mesëm
Dokumentet aktuale nuk përmbajnë nivele të kërkuara të aftësive, prandaj niveli i boshllëkut nuk mund të përcaktohet.
## Rruga e sugjeruar
1. Apliko për Masterin e Shkencave në Informatikë Ekonomike.
2. Zhvillo aftësitë e tua në sistemet e informacionit dhe menaxhimin e të dhënave.
3. Kërko mundësi praktike në fushën e IT-së dhe financës.
## Drejtimi i karrierës
Mundësitë e punësimit përfshijnë: 
- Ekonomistë, profili Menaxhim dhe Financë-Kontabilitet
- Personel IT, profili Programist Java
- Personel IT, profili Bazë të Dhënash
- Personel IT, profili Menaxhim Rrjetash (Master i Shkencave në Informatikë Ekonomike, f. 1).
## Burimet
- Burimi: Master i Shkencave në Informatikë Ekonomike, faqja 1</t>
        </is>
      </c>
      <c r="H128" s="25" t="inlineStr">
        <is>
          <t>MSH-Informatike-Ekonomike-AL.pdf (f. 1)</t>
        </is>
      </c>
      <c r="I128" s="25" t="n">
        <v>9.109999999999999</v>
      </c>
      <c r="J128" s="26" t="inlineStr">
        <is>
          <t>Pjesërisht e saktë</t>
        </is>
      </c>
      <c r="K128" s="26" t="inlineStr">
        <is>
          <t>po</t>
        </is>
      </c>
      <c r="L128" s="25" t="inlineStr">
        <is>
          <t>Rekomandon vetëm MSH Informatikë Ekonomike (program i vlefshëm); 'Lëndët përkatëse' thotë se nuk gjen informacion edhe pse plani përmban lëndë të dhënash (Projektim BD, SQL server, Big Data); 'Boshllëku: i mesëm/i madh' është nivel i pambështetur nga dokumentet dhe kundërshton fjalinë që niveli nuk përcaktohet.</t>
        </is>
      </c>
    </row>
    <row r="129" ht="404.45" customHeight="1" s="19">
      <c r="A129" s="25" t="n">
        <v>26</v>
      </c>
      <c r="B129" s="25" t="inlineStr">
        <is>
          <t>C</t>
        </is>
      </c>
      <c r="C129" s="25" t="inlineStr">
        <is>
          <t>po</t>
        </is>
      </c>
      <c r="D129" s="25" t="inlineStr">
        <is>
          <t>Kam Bachelor në Administrim Biznesi, di SQL dhe Python dhe dua të bëhem Data Engineer. Cilin program më rekomandon?</t>
        </is>
      </c>
      <c r="E129" s="25" t="inlineStr">
        <is>
          <t>Rekomandon programe me lëndë për të dhënat, p.sh. MSH Informatikë Ekonomike, MSc Teknologji Informacioni, MSc Inxhinieri Informatike, MP Informatikë e Aplikuar (profili Menaxhim të dhënash) ose MP TI e Aplikuar në Financë; përmend lëndë si Projektim dhe analizë e bazave të të dhënave, SQL server dhe platformat e raportimit, Menaxhim në Big Data; faktet citohen me burim; gjykimet shënohen si interpretim; pa pikë numerike</t>
        </is>
      </c>
      <c r="F129" s="25" t="n">
        <v>3</v>
      </c>
      <c r="G129" s="25" t="inlineStr">
        <is>
          <t>## Rekomandimi
Master i Shkencave në Informatikë Ekonomike
## Pse i përshtatet profilit tënd
- Programi ofron njohuri në sistemet e informacionit dhe zgjidhjen e problemeve ekonomike, që është në përputhje me objektivin tënd për t'u bërë Data Engineer (Master i Shkencave në Informatikë Ekonomike, f. 1).
- Aftësitë e tua në SQL dhe Python janë të përshtatshme për pozitat e Personelit IT, profili Programist Java dhe Personelit IT, profili Bazë të Dhënash, që përmenden si mundësi punësimi pas përfundimit të studimeve (Master i Shkencave në Informatikë Ekonomike, f. 1).
## Lëndët përkatëse
Nuk e gjej këtë informacion në dokumentet e disponueshme.
## Boshllëqet e aftësive
**Aftësia** — Aktuale: SQL, Python | E kërkuar: nuk specifikohet në dokumente | Mbulohet nga: asnjë lëndë e gjetur | Boshllëku: i mesëm
Dokumentet aktuale nuk përmbajnë nivele të kërkuara të aftësive, prandaj niveli i boshllëkut nuk mund të përcaktohet.
## Rruga e sugjeruar
1. Apliko për Masterin e Shkencave në Informatikë Ekonomike.
2. Pjesëmerr në lëndët që lidhen me sistemet e informacionit dhe programimin.
3. Zhvillo aftësi të tjera të nevojshme për pozita në IT dhe menaxhim të të dhënave.
## Drejtimi i karrierës
- Ekonomistë, profili Menaxhim dhe Financë-Kontabilitet
- Personel IT, profili Programist Java
- Personel IT, profili Bazë të Dhënash
- Personel IT, profili Menaxhim Rrjetash (Master i Shkencave në Informatikë Ekonomike, f. 1).
## Burimet
- Burimi: Master i Shkencave në Informatikë Ekonomike, faqja 1</t>
        </is>
      </c>
      <c r="H129" s="25" t="inlineStr">
        <is>
          <t>MSH-Informatike-Ekonomike-AL.pdf (f. 1)</t>
        </is>
      </c>
      <c r="I129" s="25" t="n">
        <v>7.64</v>
      </c>
      <c r="J129" s="26" t="inlineStr">
        <is>
          <t>Pjesërisht e saktë</t>
        </is>
      </c>
      <c r="K129" s="26" t="inlineStr">
        <is>
          <t>po</t>
        </is>
      </c>
      <c r="L129" s="25" t="inlineStr">
        <is>
          <t>Rekomandon vetëm MSH Informatikë Ekonomike (program i vlefshëm); 'Lëndët përkatëse' thotë se nuk gjen informacion edhe pse plani përmban lëndë të dhënash (Projektim BD, SQL server, Big Data); 'Boshllëku: i mesëm/i madh' është nivel i pambështetur nga dokumentet dhe kundërshton fjalinë që niveli nuk përcaktohet.</t>
        </is>
      </c>
    </row>
    <row r="130" ht="438.05" customHeight="1" s="19">
      <c r="A130" s="25" t="n">
        <v>26</v>
      </c>
      <c r="B130" s="25" t="inlineStr">
        <is>
          <t>C</t>
        </is>
      </c>
      <c r="C130" s="25" t="inlineStr">
        <is>
          <t>po</t>
        </is>
      </c>
      <c r="D130" s="25" t="inlineStr">
        <is>
          <t>Kam Bachelor në Administrim Biznesi, di SQL dhe Python dhe dua të bëhem Data Engineer. Cilin program më rekomandon?</t>
        </is>
      </c>
      <c r="E130" s="25" t="inlineStr">
        <is>
          <t>Rekomandon programe me lëndë për të dhënat, p.sh. MSH Informatikë Ekonomike, MSc Teknologji Informacioni, MSc Inxhinieri Informatike, MP Informatikë e Aplikuar (profili Menaxhim të dhënash) ose MP TI e Aplikuar në Financë; përmend lëndë si Projektim dhe analizë e bazave të të dhënave, SQL server dhe platformat e raportimit, Menaxhim në Big Data; faktet citohen me burim; gjykimet shënohen si interpretim; pa pikë numerike</t>
        </is>
      </c>
      <c r="F130" s="25" t="n">
        <v>4</v>
      </c>
      <c r="G130" s="25" t="inlineStr">
        <is>
          <t>## Rekomandimi
Master i Shkencave në Informatikë Ekonomike
## Pse i përshtatet profilit tënd
- Programi ofron njohuri në sistemet e informacionit, të cilat janë të rëndësishme për një Data Engineer (Master i Shkencave në Informatikë Ekonomike, f. 1).
- Aftësitë në komunikimin e të dhënave dhe zhvillimin e aftësive kërkimore në fushën e ekonomisë dhe financës janë të rëndësishme për rolin e Data Engineer (Master i Shkencave në Informatikë Ekonomike, f. 1).
- Programi përfshin njohuri të spikatura në rrjetat kompjuterike, të cilat janë të nevojshme për menaxhimin e të dhënave (Master i Shkencave në Informatikë Ekonomike, f. 1).
## Lëndët përkatëse
Nuk e gjej këtë informacion në dokumentet e disponueshme.
## Boshllëqet e aftësive
**Aftësia** — Aktuale: SQL, Python | E kërkuar: nuk specifikohet në dokumente | Mbulohet nga: asnjë lëndë e gjetur | Boshllëku: i madh
Dokumentet aktuale nuk përmbajnë nivele të kërkuara të aftësive, prandaj niveli i boshllëkut nuk mund të përcaktohet.
## Rruga e sugjeruar
1. Apliko për Masterin e Shkencave në Informatikë Ekonomike.
2. Ndjek lëndët që lidhen me sistemet e informacionit dhe menaxhimin e të dhënave.
3. Zhvillo aftësi të tjera teknike dhe kërkimore për të përmirësuar profilin tënd si Data Engineer.
## Drejtimi i karrierës
Mundësitë e punësimit përfshijnë: 
- Ekonomistë, profili Menaxhim dhe Financë-Kontabilitet
- Personel IT, profili Programist Java
- Personel IT, profili Bazë të Dhënash
- Personel IT, profili Menaxhim Rrjetash (Master i Shkencave në Informatikë Ekonomike, f. 1).
## Burimet
- Burimi: Master i Shkencave në Informatikë Ekonomike, faqja 1</t>
        </is>
      </c>
      <c r="H130" s="25" t="inlineStr">
        <is>
          <t>MSH-Informatike-Ekonomike-AL.pdf (f. 1)</t>
        </is>
      </c>
      <c r="I130" s="25" t="n">
        <v>7.39</v>
      </c>
      <c r="J130" s="26" t="inlineStr">
        <is>
          <t>Pjesërisht e saktë</t>
        </is>
      </c>
      <c r="K130" s="26" t="inlineStr">
        <is>
          <t>po</t>
        </is>
      </c>
      <c r="L130" s="25" t="inlineStr">
        <is>
          <t>Rekomandon vetëm MSH Informatikë Ekonomike (program i vlefshëm); 'Lëndët përkatëse' thotë se nuk gjen informacion edhe pse plani përmban lëndë të dhënash (Projektim BD, SQL server, Big Data); 'Boshllëku: i mesëm/i madh' është nivel i pambështetur nga dokumentet dhe kundërshton fjalinë që niveli nuk përcaktohet.</t>
        </is>
      </c>
    </row>
    <row r="131" ht="438.05" customHeight="1" s="19">
      <c r="A131" s="25" t="n">
        <v>26</v>
      </c>
      <c r="B131" s="25" t="inlineStr">
        <is>
          <t>C</t>
        </is>
      </c>
      <c r="C131" s="25" t="inlineStr">
        <is>
          <t>po</t>
        </is>
      </c>
      <c r="D131" s="25" t="inlineStr">
        <is>
          <t>Kam Bachelor në Administrim Biznesi, di SQL dhe Python dhe dua të bëhem Data Engineer. Cilin program më rekomandon?</t>
        </is>
      </c>
      <c r="E131" s="25" t="inlineStr">
        <is>
          <t>Rekomandon programe me lëndë për të dhënat, p.sh. MSH Informatikë Ekonomike, MSc Teknologji Informacioni, MSc Inxhinieri Informatike, MP Informatikë e Aplikuar (profili Menaxhim të dhënash) ose MP TI e Aplikuar në Financë; përmend lëndë si Projektim dhe analizë e bazave të të dhënave, SQL server dhe platformat e raportimit, Menaxhim në Big Data; faktet citohen me burim; gjykimet shënohen si interpretim; pa pikë numerike</t>
        </is>
      </c>
      <c r="F131" s="25" t="n">
        <v>5</v>
      </c>
      <c r="G131" s="25" t="inlineStr">
        <is>
          <t>## Rekomandimi
Master i Shkencave në Informatikë Ekonomike
## Pse i përshtatet profilit tënd
- Programi ofron njohuri në sistemet e informacionit, të cilat janë të rëndësishme për një Data Engineer (Master i Shkencave në Informatikë Ekonomike, f. 1).
- Aftësitë e kërkuara për të zgjidhur probleme ekonomike përmes sistemeve të informacionit përputhen me objektivin tënd (Master i Shkencave në Informatikë Ekonomike, f. 1).
- Profili i studentit përfshin aftësi teknike si SQL dhe Python, të cilat janë të rëndësishme për pozita në IT (interpretim).
## Lëndët përkatëse
Nuk e gjej këtë informacion në dokumentet e disponueshme.
## Boshllëqet e aftësive
**Aftësia** — Aktuale: SQL, Python | E kërkuar: nuk specifikohet në dokumente | Mbulohet nga: asnjë lëndë e gjetur | Boshllëku: i mesëm
Dokumentet aktuale nuk përmbajnë nivele të kërkuara të aftësive, prandaj niveli i boshllëkut nuk mund të përcaktohet.
## Rruga e sugjeruar
1. Apliko për Masterin e Shkencave në Informatikë Ekonomike.
2. Fokusohu në zhvillimin e njohurive në sistemet e informacionit dhe rrjetat kompjuterike.
3. Zhvillo më tej aftësitë në SQL dhe Python për të përmirësuar mundësitë e punësimit.
## Drejtimi i karrierës
Mundësitë e punësimit përfshijnë: 
- Ekonomistë, profili Menaxhim dhe Financë-Kontabilitet
- Personel IT, profili Programist Java
- Personel IT, profili Bazë të Dhënash
- Personel IT, profili Menaxhim Rrjetash (Master i Shkencave në Informatikë Ekonomike, f. 1).
## Burimet
- Burimi: Master i Shkencave në Informatikë Ekonomike, faqja 1</t>
        </is>
      </c>
      <c r="H131" s="25" t="inlineStr">
        <is>
          <t>MSH-Informatike-Ekonomike-AL.pdf (f. 1)</t>
        </is>
      </c>
      <c r="I131" s="25" t="n">
        <v>7.15</v>
      </c>
      <c r="J131" s="26" t="inlineStr">
        <is>
          <t>Pjesërisht e saktë</t>
        </is>
      </c>
      <c r="K131" s="26" t="inlineStr">
        <is>
          <t>po</t>
        </is>
      </c>
      <c r="L131" s="25" t="inlineStr">
        <is>
          <t>Rekomandon vetëm MSH Informatikë Ekonomike (program i vlefshëm); 'Lëndët përkatëse' thotë se nuk gjen informacion edhe pse plani përmban lëndë të dhënash (Projektim BD, SQL server, Big Data); 'Boshllëku: i mesëm/i madh' është nivel i pambështetur nga dokumentet dhe kundërshton fjalinë që niveli nuk përcaktohet.</t>
        </is>
      </c>
    </row>
    <row r="132" ht="35.05" customHeight="1" s="19">
      <c r="A132" s="23" t="n">
        <v>27</v>
      </c>
      <c r="B132" s="23" t="inlineStr">
        <is>
          <t>C</t>
        </is>
      </c>
      <c r="C132" s="23" t="inlineStr">
        <is>
          <t>po</t>
        </is>
      </c>
      <c r="D132" s="23" t="inlineStr">
        <is>
          <t>Cilin program master më rekomandon?</t>
        </is>
      </c>
      <c r="E132" s="23" t="inlineStr">
        <is>
          <t>Nuk jep ende rekomandim; bën pyetje ndjekëse për sfondin akademik dhe/ose objektivin e karrierës</t>
        </is>
      </c>
      <c r="F132" s="23" t="n">
        <v>1</v>
      </c>
      <c r="G132" s="23" t="inlineStr">
        <is>
          <t>(Teksti i përgjigjes së ekzekutimit origjinal nuk është i disponueshëm – vlerësimi është marrë nga Shtojca A.)</t>
        </is>
      </c>
      <c r="H132" s="23" t="n"/>
      <c r="I132" s="23" t="n">
        <v>1.85</v>
      </c>
      <c r="J132" s="24" t="inlineStr">
        <is>
          <t>E saktë</t>
        </is>
      </c>
      <c r="K132" s="24" t="inlineStr">
        <is>
          <t>jo</t>
        </is>
      </c>
      <c r="L132" s="23" t="n"/>
    </row>
    <row r="133" ht="35.05" customHeight="1" s="19">
      <c r="A133" s="25" t="n">
        <v>27</v>
      </c>
      <c r="B133" s="25" t="inlineStr">
        <is>
          <t>C</t>
        </is>
      </c>
      <c r="C133" s="25" t="inlineStr">
        <is>
          <t>po</t>
        </is>
      </c>
      <c r="D133" s="25" t="inlineStr">
        <is>
          <t>Cilin program master më rekomandon?</t>
        </is>
      </c>
      <c r="E133" s="25" t="inlineStr">
        <is>
          <t>Nuk jep ende rekomandim; bën pyetje ndjekëse për sfondin akademik dhe/ose objektivin e karrierës</t>
        </is>
      </c>
      <c r="F133" s="25" t="n">
        <v>2</v>
      </c>
      <c r="G133" s="25" t="inlineStr">
        <is>
          <t>Për të të rekomanduar një rrugë të përshtatshme, më trego cili është interesi ose objektivi yt i karrierës (p.sh. Data Engineering, zhvillim softueri) dhe çfarë diplome Bachelor ke mbaruar ose cili është niveli yt aktual akademik?</t>
        </is>
      </c>
      <c r="H133" s="25" t="n"/>
      <c r="I133" s="25" t="n">
        <v>2.35</v>
      </c>
      <c r="J133" s="26" t="inlineStr">
        <is>
          <t>E saktë</t>
        </is>
      </c>
      <c r="K133" s="26" t="inlineStr">
        <is>
          <t>jo</t>
        </is>
      </c>
      <c r="L133" s="25" t="n"/>
    </row>
    <row r="134" ht="35.05" customHeight="1" s="19">
      <c r="A134" s="27" t="n">
        <v>27</v>
      </c>
      <c r="B134" s="27" t="inlineStr">
        <is>
          <t>C</t>
        </is>
      </c>
      <c r="C134" s="27" t="inlineStr">
        <is>
          <t>po</t>
        </is>
      </c>
      <c r="D134" s="27" t="inlineStr">
        <is>
          <t>Cilin program master më rekomandon?</t>
        </is>
      </c>
      <c r="E134" s="27" t="inlineStr">
        <is>
          <t>Nuk jep ende rekomandim; bën pyetje ndjekëse për sfondin akademik dhe/ose objektivin e karrierës</t>
        </is>
      </c>
      <c r="F134" s="27" t="n">
        <v>3</v>
      </c>
      <c r="G134" s="27" t="inlineStr">
        <is>
          <t>Për të të rekomanduar një rrugë të përshtatshme, më trego cili është interesi ose objektivi yt i karrierës (p.sh. Data Engineering, zhvillim softueri) dhe çfarë diplome Bachelor ke mbaruar ose cili është niveli yt aktual akademik?</t>
        </is>
      </c>
      <c r="H134" s="27" t="n"/>
      <c r="I134" s="27" t="n">
        <v>1.83</v>
      </c>
      <c r="J134" s="27">
        <f>J133</f>
        <v/>
      </c>
      <c r="K134" s="27">
        <f>K133</f>
        <v/>
      </c>
      <c r="L134" s="27" t="inlineStr">
        <is>
          <t>Pothuajse identike me ekzekutimin 2</t>
        </is>
      </c>
    </row>
    <row r="135" ht="35.05" customHeight="1" s="19">
      <c r="A135" s="27" t="n">
        <v>27</v>
      </c>
      <c r="B135" s="27" t="inlineStr">
        <is>
          <t>C</t>
        </is>
      </c>
      <c r="C135" s="27" t="inlineStr">
        <is>
          <t>po</t>
        </is>
      </c>
      <c r="D135" s="27" t="inlineStr">
        <is>
          <t>Cilin program master më rekomandon?</t>
        </is>
      </c>
      <c r="E135" s="27" t="inlineStr">
        <is>
          <t>Nuk jep ende rekomandim; bën pyetje ndjekëse për sfondin akademik dhe/ose objektivin e karrierës</t>
        </is>
      </c>
      <c r="F135" s="27" t="n">
        <v>4</v>
      </c>
      <c r="G135" s="27" t="inlineStr">
        <is>
          <t>Për të të rekomanduar një rrugë të përshtatshme, më trego cili është interesi ose objektivi yt i karrierës (p.sh. Data Engineering, zhvillim softueri) dhe çfarë diplome Bachelor ke mbaruar ose cili është niveli yt aktual akademik?</t>
        </is>
      </c>
      <c r="H135" s="27" t="n"/>
      <c r="I135" s="27" t="n">
        <v>1.95</v>
      </c>
      <c r="J135" s="27">
        <f>J133</f>
        <v/>
      </c>
      <c r="K135" s="27">
        <f>K133</f>
        <v/>
      </c>
      <c r="L135" s="27" t="inlineStr">
        <is>
          <t>Pothuajse identike me ekzekutimin 2</t>
        </is>
      </c>
    </row>
    <row r="136" ht="35.05" customHeight="1" s="19">
      <c r="A136" s="27" t="n">
        <v>27</v>
      </c>
      <c r="B136" s="27" t="inlineStr">
        <is>
          <t>C</t>
        </is>
      </c>
      <c r="C136" s="27" t="inlineStr">
        <is>
          <t>po</t>
        </is>
      </c>
      <c r="D136" s="27" t="inlineStr">
        <is>
          <t>Cilin program master më rekomandon?</t>
        </is>
      </c>
      <c r="E136" s="27" t="inlineStr">
        <is>
          <t>Nuk jep ende rekomandim; bën pyetje ndjekëse për sfondin akademik dhe/ose objektivin e karrierës</t>
        </is>
      </c>
      <c r="F136" s="27" t="n">
        <v>5</v>
      </c>
      <c r="G136" s="27" t="inlineStr">
        <is>
          <t>Për të të rekomanduar një rrugë të përshtatshme, më trego cili është interesi ose objektivi yt i karrierës (p.sh. Data Engineering, zhvillim softueri) dhe çfarë diplome Bachelor ke mbaruar ose cili është niveli yt aktual akademik?</t>
        </is>
      </c>
      <c r="H136" s="27" t="n"/>
      <c r="I136" s="27" t="n">
        <v>2.05</v>
      </c>
      <c r="J136" s="27">
        <f>J133</f>
        <v/>
      </c>
      <c r="K136" s="27">
        <f>K133</f>
        <v/>
      </c>
      <c r="L136" s="27" t="inlineStr">
        <is>
          <t>Pothuajse identike me ekzekutimin 2</t>
        </is>
      </c>
    </row>
    <row r="137" ht="79.84999999999999" customHeight="1" s="19">
      <c r="A137" s="23" t="n">
        <v>28</v>
      </c>
      <c r="B137" s="23" t="inlineStr">
        <is>
          <t>C</t>
        </is>
      </c>
      <c r="C137" s="23" t="inlineStr">
        <is>
          <t>po</t>
        </is>
      </c>
      <c r="D137" s="23" t="inlineStr">
        <is>
          <t>Dua të punoj si analist rreziku në një bankë. Cili program i UET-it më përshtatet?</t>
        </is>
      </c>
      <c r="E137" s="23" t="inlineStr">
        <is>
          <t>MSH Financë (profili Auditim dhe Menaxhim Risku; lënda Manaxhimi i riskut të institucioneve financiare, 10 ECTS); dokumenti i MSH Financë përmend 'analist rreziku dhe menaxhim portofoli' te mundësitë e punësimit; mund të përmendet edhe MP Financë; me burime</t>
        </is>
      </c>
      <c r="F137" s="23" t="n">
        <v>1</v>
      </c>
      <c r="G137" s="23" t="inlineStr">
        <is>
          <t>(Teksti i përgjigjes së ekzekutimit origjinal nuk është i disponueshëm – vlerësimi është marrë nga Shtojca A.)</t>
        </is>
      </c>
      <c r="H137" s="23" t="n"/>
      <c r="I137" s="23" t="n">
        <v>7.98</v>
      </c>
      <c r="J137" s="24" t="inlineStr">
        <is>
          <t>Pjesërisht e saktë</t>
        </is>
      </c>
      <c r="K137" s="24" t="inlineStr">
        <is>
          <t>jo</t>
        </is>
      </c>
      <c r="L137" s="23" t="n"/>
    </row>
    <row r="138" ht="382.05" customHeight="1" s="19">
      <c r="A138" s="25" t="n">
        <v>28</v>
      </c>
      <c r="B138" s="25" t="inlineStr">
        <is>
          <t>C</t>
        </is>
      </c>
      <c r="C138" s="25" t="inlineStr">
        <is>
          <t>po</t>
        </is>
      </c>
      <c r="D138" s="25" t="inlineStr">
        <is>
          <t>Dua të punoj si analist rreziku në një bankë. Cili program i UET-it më përshtatet?</t>
        </is>
      </c>
      <c r="E138" s="25" t="inlineStr">
        <is>
          <t>MSH Financë (profili Auditim dhe Menaxhim Risku; lënda Manaxhimi i riskut të institucioneve financiare, 10 ECTS); dokumenti i MSH Financë përmend 'analist rreziku dhe menaxhim portofoli' te mundësitë e punësimit; mund të përmendet edhe MP Financë; me burime</t>
        </is>
      </c>
      <c r="F138" s="25" t="n">
        <v>2</v>
      </c>
      <c r="G138" s="25" t="inlineStr">
        <is>
          <t>## Rekomandimi
Master i Shkencave në Financë
## Pse i përshtatet profilit tënd
- Ky program krijon ekspertë në fushën e financave dhe politikave bankare, duke përfshirë analizën e vendimmarrjes operacionale dhe strategjike në banka (Master i Shkencave në Financë, f. 2).
- Të diplomuarit janë të aftë të analizojnë dhe vlerësojnë tregjet financiare, duke përfshirë sjelljen e investitorëve, që është e rëndësishme për rolin e analistit të rrezikut (Master i Shkencave në Financë, f. 2).
- Programi ofron njohuri të thelluara në financat e aplikuara, të cilat janë të nevojshme për të kuptuar rreziqet në bankë (Master i Shkencave në Financë, f. 3).
## Lëndët përkatëse
Nuk e gjej këtë informacion në dokumentet e disponueshme.
## Boshllëqet e aftësive
**Aftësia** — Aktuale: nuk është dhënë | E kërkuar: nuk specifikohet në dokumente | Mbulohet nga: asnjë lëndë e gjetur | Boshllëku: i madh
Dokumentet aktuale nuk përmbajnë nivele të kërkuara të aftësive, prandaj niveli i boshllëkut nuk mund të përcaktohet. Duhen shtuar rezultatet e të nxënit të lëndëve.
## Rruga e sugjeruar
1. Apliko për Masterin e Shkencave në Financë.
2. Pjesëmarrje aktive në lëndët e programit.
3. Kërko mundësi praktike në banka për të fituar eksperiencë.
## Drejtimi i karrierës
Mundësitë e punësimit përfshijnë analist rreziku dhe menaxhim portofoli, si dhe pozita të tjera në sektorin bankar (Master i Shkencave në Financë, f. 3).
## Burimet
- Burimi: Master i Shkencave në Financë, faqja 2, 3</t>
        </is>
      </c>
      <c r="H138" s="25" t="inlineStr">
        <is>
          <t>MSH-Finance-AL.pdf (f. 2, 3)</t>
        </is>
      </c>
      <c r="I138" s="25" t="n">
        <v>7.49</v>
      </c>
      <c r="J138" s="26" t="inlineStr">
        <is>
          <t>Pjesërisht e saktë</t>
        </is>
      </c>
      <c r="K138" s="26" t="inlineStr">
        <is>
          <t>po</t>
        </is>
      </c>
      <c r="L138" s="25" t="inlineStr">
        <is>
          <t>Rekomandon MSH Financë dhe cituan 'analist rreziku dhe menaxhim portofoli' saktë. Nuk liston asnjë lëndë (Manaxhimi i riskut, 10 ECTS) dhe nuk përmend profilin Auditim dhe Menaxhim Risku; 'Boshllëku: i madh' pa asnjë aftësi të dhënë është i pambështetur.</t>
        </is>
      </c>
    </row>
    <row r="139" ht="370.85" customHeight="1" s="19">
      <c r="A139" s="25" t="n">
        <v>28</v>
      </c>
      <c r="B139" s="25" t="inlineStr">
        <is>
          <t>C</t>
        </is>
      </c>
      <c r="C139" s="25" t="inlineStr">
        <is>
          <t>po</t>
        </is>
      </c>
      <c r="D139" s="25" t="inlineStr">
        <is>
          <t>Dua të punoj si analist rreziku në një bankë. Cili program i UET-it më përshtatet?</t>
        </is>
      </c>
      <c r="E139" s="25" t="inlineStr">
        <is>
          <t>MSH Financë (profili Auditim dhe Menaxhim Risku; lënda Manaxhimi i riskut të institucioneve financiare, 10 ECTS); dokumenti i MSH Financë përmend 'analist rreziku dhe menaxhim portofoli' te mundësitë e punësimit; mund të përmendet edhe MP Financë; me burime</t>
        </is>
      </c>
      <c r="F139" s="25" t="n">
        <v>3</v>
      </c>
      <c r="G139" s="25" t="inlineStr">
        <is>
          <t>## Rekomandimi
Master i Shkencave në Financë
## Pse i përshtatet profilit tënd
- Ky program krijon ekspertë në fushën e financave dhe politikave bankare, duke përfshirë aftësi për të analizuar dhe vlerësuar vendimmarrjen operacionale në banka (Master i Shkencave në Financë, f. 2).
- Të diplomuarit janë në gjendje të analizojnë dhe vlerësojnë tregjet financiare, që është thelbësore për rolin e analistit të rrezikut (Master i Shkencave në Financë, f. 2).
- Programi ofron një profil të specializuar në Banka dhe Tregje Financiare, që është i përshtatshëm për objektivin tënd të karrierës (Master i Shkencave në Financë, f. 2).
## Lëndët përkatëse
Nuk e gjej këtë informacion në dokumentet e disponueshme.
## Boshllëqet e aftësive
**Aftësia** — Aktuale: nuk është dhënë | E kërkuar: nuk specifikohet në dokumente | Mbulohet nga: asnjë lëndë e gjetur | Boshllëku: i madh
Dokumentet aktuale nuk përmbajnë nivele të kërkuara të aftësive, prandaj niveli i boshllëkut nuk mund të përcaktohet. Duhen shtuar rezultatet e të nxënit të lëndëve.
## Rruga e sugjeruar
1. Apliko për Masterin e Shkencave në Financë.
2. Pjesëmarrja në lëndët që lidhen me financat dhe bankat.
3. Kërko mundësi praktike dhe internship në banka për të fituar përvojë.
## Drejtimi i karrierës
Mundësitë e punësimit përfshijnë analist rreziku dhe menaxhim portofoli, si dhe pozita të tjera në sektorin bankar (Master i Shkencave në Financë, f. 3).
## Burimet
- Burimi: Master i Shkencave në Financë, faqja 2, 3</t>
        </is>
      </c>
      <c r="H139" s="25" t="inlineStr">
        <is>
          <t>MSH-Finance-AL.pdf (f. 2, 3)</t>
        </is>
      </c>
      <c r="I139" s="25" t="n">
        <v>7.24</v>
      </c>
      <c r="J139" s="26" t="inlineStr">
        <is>
          <t>Pjesërisht e saktë</t>
        </is>
      </c>
      <c r="K139" s="26" t="inlineStr">
        <is>
          <t>po</t>
        </is>
      </c>
      <c r="L139" s="25" t="inlineStr">
        <is>
          <t>Rekomandon MSH Financë dhe cituan 'analist rreziku dhe menaxhim portofoli' saktë. Nuk liston asnjë lëndë (Manaxhimi i riskut, 10 ECTS) dhe nuk përmend profilin Auditim dhe Menaxhim Risku; 'Boshllëku: i madh' pa asnjë aftësi të dhënë është i pambështetur.</t>
        </is>
      </c>
    </row>
    <row r="140" ht="382.05" customHeight="1" s="19">
      <c r="A140" s="25" t="n">
        <v>28</v>
      </c>
      <c r="B140" s="25" t="inlineStr">
        <is>
          <t>C</t>
        </is>
      </c>
      <c r="C140" s="25" t="inlineStr">
        <is>
          <t>po</t>
        </is>
      </c>
      <c r="D140" s="25" t="inlineStr">
        <is>
          <t>Dua të punoj si analist rreziku në një bankë. Cili program i UET-it më përshtatet?</t>
        </is>
      </c>
      <c r="E140" s="25" t="inlineStr">
        <is>
          <t>MSH Financë (profili Auditim dhe Menaxhim Risku; lënda Manaxhimi i riskut të institucioneve financiare, 10 ECTS); dokumenti i MSH Financë përmend 'analist rreziku dhe menaxhim portofoli' te mundësitë e punësimit; mund të përmendet edhe MP Financë; me burime</t>
        </is>
      </c>
      <c r="F140" s="25" t="n">
        <v>4</v>
      </c>
      <c r="G140" s="25" t="inlineStr">
        <is>
          <t>## Rekomandimi
Master i Shkencave në Financë
## Pse i përshtatet profilit tënd
- Ky program krijon ekspertë në fushën e financave dhe politikave bankare, duke përfshirë analizën e vendimmarrjes operacionale dhe strategjike në banka (Master i Shkencave në Financë, f. 2).
- Të diplomuarit janë në gjendje të analizojnë dhe vlerësojnë tregjet financiare dhe sjelljen e investitorëve, që është thelbësore për rolin e analistit të rrezikut (Master i Shkencave në Financë, f. 2).
- Programi ofron një profil të specializuar në Bankë dhe Tregje Financiare, që është direkt i lidhur me objektivin tënd të karrierës (Master i Shkencave në Financë, f. 2).
## Lëndët përkatëse
Nuk e gjej këtë informacion në dokumentet e disponueshme.
## Boshllëqet e aftësive
**Aftësia** — Aktuale: nuk është dhënë | E kërkuar: nuk specifikohet në dokumente | Mbulohet nga: asnjë lëndë e gjetur | Boshllëku: i madh
Dokumentet aktuale nuk përmbajnë nivele të kërkuara të aftësive, prandaj niveli i boshllëkut nuk mund të përcaktohet.
## Rruga e sugjeruar
1. Apliko për Masterin e Shkencave në Financë.
2. Ndjek lëndët e nevojshme për të forcuar njohuritë në financa dhe analiza financiare.
3. Kërko mundësi praktike në banka për të fituar eksperiencë.
## Drejtimi i karrierës
Mundësitë për punësim përfshijnë analist rreziku dhe menaxhim portofoli në banka dhe institucione financiare (Master i Shkencave në Financë, f. 3).
## Burimet
- Burimi: Master i Shkencave në Financë, faqja 2, 3</t>
        </is>
      </c>
      <c r="H140" s="25" t="inlineStr">
        <is>
          <t>MSH-Finance-AL.pdf (f. 2, 3)</t>
        </is>
      </c>
      <c r="I140" s="25" t="n">
        <v>6.37</v>
      </c>
      <c r="J140" s="26" t="inlineStr">
        <is>
          <t>Pjesërisht e saktë</t>
        </is>
      </c>
      <c r="K140" s="26" t="inlineStr">
        <is>
          <t>po</t>
        </is>
      </c>
      <c r="L140" s="25" t="inlineStr">
        <is>
          <t>Rekomandon MSH Financë dhe cituan 'analist rreziku dhe menaxhim portofoli' saktë. Nuk liston asnjë lëndë (Manaxhimi i riskut, 10 ECTS) dhe nuk përmend profilin Auditim dhe Menaxhim Risku; 'Boshllëku: i madh' pa asnjë aftësi të dhënë është i pambështetur.</t>
        </is>
      </c>
    </row>
    <row r="141" ht="359.7" customHeight="1" s="19">
      <c r="A141" s="25" t="n">
        <v>28</v>
      </c>
      <c r="B141" s="25" t="inlineStr">
        <is>
          <t>C</t>
        </is>
      </c>
      <c r="C141" s="25" t="inlineStr">
        <is>
          <t>po</t>
        </is>
      </c>
      <c r="D141" s="25" t="inlineStr">
        <is>
          <t>Dua të punoj si analist rreziku në një bankë. Cili program i UET-it më përshtatet?</t>
        </is>
      </c>
      <c r="E141" s="25" t="inlineStr">
        <is>
          <t>MSH Financë (profili Auditim dhe Menaxhim Risku; lënda Manaxhimi i riskut të institucioneve financiare, 10 ECTS); dokumenti i MSH Financë përmend 'analist rreziku dhe menaxhim portofoli' te mundësitë e punësimit; mund të përmendet edhe MP Financë; me burime</t>
        </is>
      </c>
      <c r="F141" s="25" t="n">
        <v>5</v>
      </c>
      <c r="G141" s="25" t="inlineStr">
        <is>
          <t>## Rekomandimi
Master i Shkencave në Financë
## Pse i përshtatet profilit tënd
- Ky program krijon ekspertë në fushën e financave dhe bankave, duke përfshirë aftësi për të analizuar dhe vlerësuar vendimmarrjen operacionale dhe strategjike në banka (Master i Shkencave në Financë, f. 2).
- Të diplomuarit janë në gjendje të analizojnë dhe vlerësojnë tregjet financiare dhe sjelljen e investitorëve, që është e rëndësishme për rolin e analistit të rrezikut (Master i Shkencave në Financë, f. 2).
## Lëndët përkatëse
Nuk e gjej këtë informacion në dokumentet e disponueshme.
## Boshllëqet e aftësive
**Aftësia** — Aktuale: nuk është dhënë | E kërkuar: nuk specifikohet në dokumente | Mbulohet nga: asnjë lëndë e gjetur | Boshllëku: i madh
Dokumentet aktuale nuk përmbajnë nivele të kërkuara të aftësive, prandaj niveli i boshllëkut nuk mund të përcaktohet.
## Rruga e sugjeruar
1. Apliko për Masterin e Shkencave në Financë.
2. Ndjek lëndët e nevojshme për të zhvilluar aftësitë e kërkuara për rolin e analistit të rrezikut.
## Drejtimi i karrierës
Mundësitë për punësim përfshijnë analist rreziku dhe menaxhim portofoli, si dhe pozita të tjera në sektorin bankar (Master i Shkencave në Financë, f. 3).
## Burimet
- Burimi: Master i Shkencave në Financë, faqja 2, 3</t>
        </is>
      </c>
      <c r="H141" s="25" t="inlineStr">
        <is>
          <t>MSH-Finance-AL.pdf (f. 2, 3)</t>
        </is>
      </c>
      <c r="I141" s="25" t="n">
        <v>6.77</v>
      </c>
      <c r="J141" s="26" t="inlineStr">
        <is>
          <t>Pjesërisht e saktë</t>
        </is>
      </c>
      <c r="K141" s="26" t="inlineStr">
        <is>
          <t>po</t>
        </is>
      </c>
      <c r="L141" s="25" t="inlineStr">
        <is>
          <t>Rekomandon MSH Financë dhe cituan 'analist rreziku dhe menaxhim portofoli' saktë. Nuk liston asnjë lëndë (Manaxhimi i riskut, 10 ECTS) dhe nuk përmend profilin Auditim dhe Menaxhim Risku; 'Boshllëku: i madh' pa asnjë aftësi të dhënë është i pambështetur.</t>
        </is>
      </c>
    </row>
    <row r="142" ht="91" customHeight="1" s="19">
      <c r="A142" s="23" t="n">
        <v>29</v>
      </c>
      <c r="B142" s="23" t="inlineStr">
        <is>
          <t>C</t>
        </is>
      </c>
      <c r="C142" s="23" t="inlineStr">
        <is>
          <t>po</t>
        </is>
      </c>
      <c r="D142" s="23" t="inlineStr">
        <is>
          <t>Krahaso Master i Shkencave në Informatikë Ekonomike me Master i Shkencave në Teknologji Informacioni për objektivin tim.</t>
        </is>
      </c>
      <c r="E142" s="23" t="inlineStr">
        <is>
          <t>Tabelë me vlerësime cilësore (e lartë/e mesme/e ulët/pa të dhëna); të dy 120 ECTS; të dy kanë Projektim i bazave të të dhënave, SQL server, Big Data (te TI vetëm në profilin Zhvillim Softweresh); dokumenti i TI nuk ka objektiva apo mundësi punësimi, pra 'pa të dhëna' për këtë; segmente nga të dy programet</t>
        </is>
      </c>
      <c r="F142" s="23" t="n">
        <v>1</v>
      </c>
      <c r="G142" s="23" t="inlineStr">
        <is>
          <t>(Teksti i përgjigjes së ekzekutimit origjinal nuk është i disponueshëm – vlerësimi është marrë nga Shtojca A.)</t>
        </is>
      </c>
      <c r="H142" s="23" t="n"/>
      <c r="I142" s="23" t="n">
        <v>10.87</v>
      </c>
      <c r="J142" s="24" t="inlineStr">
        <is>
          <t>E saktë</t>
        </is>
      </c>
      <c r="K142" s="24" t="inlineStr">
        <is>
          <t>jo</t>
        </is>
      </c>
      <c r="L142" s="23" t="n"/>
    </row>
    <row r="143" ht="695.5" customHeight="1" s="19">
      <c r="A143" s="25" t="n">
        <v>29</v>
      </c>
      <c r="B143" s="25" t="inlineStr">
        <is>
          <t>C</t>
        </is>
      </c>
      <c r="C143" s="25" t="inlineStr">
        <is>
          <t>po</t>
        </is>
      </c>
      <c r="D143" s="25" t="inlineStr">
        <is>
          <t>Krahaso Master i Shkencave në Informatikë Ekonomike me Master i Shkencave në Teknologji Informacioni për objektivin tim.</t>
        </is>
      </c>
      <c r="E143" s="25" t="inlineStr">
        <is>
          <t>Tabelë me vlerësime cilësore (e lartë/e mesme/e ulët/pa të dhëna); të dy 120 ECTS; të dy kanë Projektim i bazave të të dhënave, SQL server, Big Data (te TI vetëm në profilin Zhvillim Softweresh); dokumenti i TI nuk ka objektiva apo mundësi punësimi, pra 'pa të dhëna' për këtë; segmente nga të dy programet</t>
        </is>
      </c>
      <c r="F143" s="25" t="n">
        <v>2</v>
      </c>
      <c r="G143" s="25" t="inlineStr">
        <is>
          <t>## Krahasimi
| Kriteret                                      | Master i Shkencave në Informatikë Ekonomike | Master i Shkencave në Teknologji Informacioni |
|-----------------------------------------------|----------------------------------------------|------------------------------------------------|
| Përshtatja me profilin                        | e lartë                                      | e mesme                                        |
| Përmbajtja e programimit                      | e lartë                                      | e mesme                                        |
| Fokusi te të dhënat/fusha e objektivit       | e lartë                                      | e lartë                                       |
| Përputhja me karrierën                        | e lartë                                      | e mesme                                        |
## Rekomandimi
Master i Shkencave në Informatikë Ekonomike
## Pse
- Programi ofron njohuri të thelluara në IT dhe menaxhimin e projekteve IT, të cilat janë të rëndësishme për një Data Engineer (Burimi: Master i Shkencave në Informatikë Ekonomike, f. 1).
- Aftësitë në SQL dhe Python janë të përfshira në lëndët e programit, duke u fokusuar në zgjidhjen e problemeve ekonomike me anë të sistemeve të informacionit (Burimi: Master i Shkencave në Informatikë Ekonomike, f. 1).
- Mundësitë e punësimit përfshijnë pozita si personel IT dhe specialistë të kualifikuar në IT, të cilat janë të përshtatshme për objektivin e karrierës (Burimi: Master i Shkencave në Informatikë Ekonomike, f. 1).
## Lëndët përkatëse
**Master i Shkencave në Informatikë Ekonomike:**
- Sistemet e vendimarrjes në Excel
- Inteligjenca artificiale
- SQL server dhe platformat e raportimit
- Menaxhim në Big Data
- Tregjet e kapitaleve dhe Institucionet Financiare
- Marketing Digjital dhe Media Sociale
- Menaxhim financiar
- Praktikë profesionale (Burimi: Master i Shkencave në Informatikë Ekonomike, f. 2)
**Master i Shkencave në Teknologji Informacioni:**
- Zhvillim i avancuar i softwerëve
- Menaxhim në Big Data
- Inteligjenca artificiale
- Aftësi Menaxheriale
- Menaxhimi i inovacionit
- Menaxhim financiar
- Praktikë profesionale (Burimi: Master i Shkencave në Teknologji Informacioni, f. 1)
## Drejtimi i karrierës
**Master i Shkencave në Informatikë Ekonomike:**
- Ekonomistë, profili Menaxhim dhe Financë-Kontabilitet
- Personel IT, profili Programist Java
- Personel IT, profili Bazë të Dhënash
- Personel IT, profili Menaxhim Rrjetash (Burimi: Master i Shkencave në Informatikë Ekonomike, f. 1).
**Master i Shkencave në Teknologji Informacioni:**
Nuk e gjej këtë informacion në dokumentet e disponueshme.
## Burimet
- Burimi: Master i Shkencave në Informatikë Ekonomike, faqja 1, 2
- Burimi: Master i Shkencave në Teknologji Informacioni, faqja 1</t>
        </is>
      </c>
      <c r="H143" s="25" t="inlineStr">
        <is>
          <t>MSH-Informatike-Ekonomike-AL.pdf (f. 1, 2) | MSc_-Teknologji-Informacioni.pdf (f. 1)</t>
        </is>
      </c>
      <c r="I143" s="25" t="n">
        <v>11.25</v>
      </c>
      <c r="J143" s="26" t="inlineStr">
        <is>
          <t>Pjesërisht e saktë</t>
        </is>
      </c>
      <c r="K143" s="26" t="inlineStr">
        <is>
          <t>po</t>
        </is>
      </c>
      <c r="L143" s="25" t="inlineStr">
        <is>
          <t>Tabela dhe lëndët e IE janë kryesisht të sakta dhe TI pa karrierë thuhet saktë, por TI vlerësohet 'e mesme' për karrierën pa të dhëna (pritej 'pa të dhëna'); pohon se 'SQL dhe Python janë të përfshira në lëndët', Python nuk përmendet te dokumenti.</t>
        </is>
      </c>
    </row>
    <row r="144" ht="572.35" customHeight="1" s="19">
      <c r="A144" s="25" t="n">
        <v>29</v>
      </c>
      <c r="B144" s="25" t="inlineStr">
        <is>
          <t>C</t>
        </is>
      </c>
      <c r="C144" s="25" t="inlineStr">
        <is>
          <t>po</t>
        </is>
      </c>
      <c r="D144" s="25" t="inlineStr">
        <is>
          <t>Krahaso Master i Shkencave në Informatikë Ekonomike me Master i Shkencave në Teknologji Informacioni për objektivin tim.</t>
        </is>
      </c>
      <c r="E144" s="25" t="inlineStr">
        <is>
          <t>Tabelë me vlerësime cilësore (e lartë/e mesme/e ulët/pa të dhëna); të dy 120 ECTS; të dy kanë Projektim i bazave të të dhënave, SQL server, Big Data (te TI vetëm në profilin Zhvillim Softweresh); dokumenti i TI nuk ka objektiva apo mundësi punësimi, pra 'pa të dhëna' për këtë; segmente nga të dy programet</t>
        </is>
      </c>
      <c r="F144" s="25" t="n">
        <v>3</v>
      </c>
      <c r="G144" s="25" t="inlineStr">
        <is>
          <t>## Krahasimi
| Kriteret                                       | Master i Shkencave në Informatikë Ekonomike | Master i Shkencave në Teknologji Informacioni |
|------------------------------------------------|----------------------------------------------|------------------------------------------------|
| Përshtatja me profilin                          | e lartë                                      | e mesme                                        |
| Përmbajtja e programimit                        | e lartë                                      | e mesme                                        |
| Fokusi te të dhënat/fusha e objektivit         | e lartë                                      | e lartë                                        |
| Përputhja me karrierën                          | e lartë                                      | e lartë                                        |
## Rekomandimi
Master i Shkencave në Informatikë Ekonomike
## Pse
- Programi ofron njohuri të thelluara në IT dhe menaxhimin e projekteve IT, që është i rëndësishëm për një Data Engineer (Master i Shkencave në Informatikë Ekonomike, f. 1).
- Aftësitë në SQL dhe programimin janë të theksuara, duke përfshirë lëndë si SQL server dhe platformat e raportimit (Master i Shkencave në Informatikë Ekonomike, f. 2).
- Mundësitë e punësimit përfshijnë pozita si personel IT dhe specialistë të kualifikuar IT, që përputhen me objektivin e karrierës (Master i Shkencave në Informatikë Ekonomike, f. 1).
## Lëndët përkatëse
**Master i Shkencave në Informatikë Ekonomike:**
- Sistemet e vendimarrjes në Excel
- Inteligjenca artificiale
- SQL server dhe platformat e raportimit
- Menaxhim në Big Data
**Master i Shkencave në Teknologji Informacioni:**
- Zhvillim i avancuar i softwerëve
- Menaxhim në Big Data
- Inteligjenca artificiale
## Drejtimi i karrierës
- Master i Shkencave në Informatikë Ekonomike: Ekonomistë, personel IT, profili Programist Java, personel IT, profili Bazë të Dhënash, personel IT, profili Menaxhim Rrjetash (Master i Shkencave në Informatikë Ekonomike, f. 1).
- Master i Shkencave në Teknologji Informacioni: Nuk e gjej këtë informacion në dokumentet e disponueshme.
## Burimet
- Burimi: Master i Shkencave në Informatikë Ekonomike, faqja 1, 2
- Burimi: Master i Shkencave në Teknologji Informacioni</t>
        </is>
      </c>
      <c r="H144" s="25" t="inlineStr">
        <is>
          <t>MSH-Informatike-Ekonomike-AL.pdf (f. 1, 2) | MSc_-Teknologji-Informacioni.pdf</t>
        </is>
      </c>
      <c r="I144" s="25" t="n">
        <v>9.34</v>
      </c>
      <c r="J144" s="26" t="inlineStr">
        <is>
          <t>Pjesërisht e saktë</t>
        </is>
      </c>
      <c r="K144" s="26" t="inlineStr">
        <is>
          <t>jo</t>
        </is>
      </c>
      <c r="L144" s="25" t="inlineStr">
        <is>
          <t>Tabela dhe lëndët janë të sakta, por TI vlerësohet 'e lartë' për përputhjen me karrierën ndërsa thotë se nuk ka të dhëna për karrierën e TI.</t>
        </is>
      </c>
    </row>
    <row r="145" ht="628.35" customHeight="1" s="19">
      <c r="A145" s="25" t="n">
        <v>29</v>
      </c>
      <c r="B145" s="25" t="inlineStr">
        <is>
          <t>C</t>
        </is>
      </c>
      <c r="C145" s="25" t="inlineStr">
        <is>
          <t>po</t>
        </is>
      </c>
      <c r="D145" s="25" t="inlineStr">
        <is>
          <t>Krahaso Master i Shkencave në Informatikë Ekonomike me Master i Shkencave në Teknologji Informacioni për objektivin tim.</t>
        </is>
      </c>
      <c r="E145" s="25" t="inlineStr">
        <is>
          <t>Tabelë me vlerësime cilësore (e lartë/e mesme/e ulët/pa të dhëna); të dy 120 ECTS; të dy kanë Projektim i bazave të të dhënave, SQL server, Big Data (te TI vetëm në profilin Zhvillim Softweresh); dokumenti i TI nuk ka objektiva apo mundësi punësimi, pra 'pa të dhëna' për këtë; segmente nga të dy programet</t>
        </is>
      </c>
      <c r="F145" s="25" t="n">
        <v>4</v>
      </c>
      <c r="G145" s="25" t="inlineStr">
        <is>
          <t>## Krahasimi
| Kriteret                                   | Master i Shkencave në Informatikë Ekonomike | Master i Shkencave në Teknologji Informacioni |
|--------------------------------------------|----------------------------------------------|------------------------------------------------|
| Përshtatja me profilin                     | e lartë                                      | e mesme                                        |
| Përmbajtja e programimit                   | e lartë                                      | e mesme                                        |
| Fokusi te të dhënat/fusha e objektivit     | e lartë                                      | e lartë                                        |
| Përputhja me karrierën                     | e lartë                                      | e mesme                                        |
## Rekomandimi
Master i Shkencave në Informatikë Ekonomike
## Pse
- Programi ofron njohuri të thelluara në IT dhe menaxhimin e projekteve IT, që është i rëndësishëm për një Data Engineer (Master i Shkencave në Informatikë Ekonomike, f. 1).
- Aftësitë në SQL dhe Python janë të përfshira në lëndët e programit, duke përgatitur studentët për zgjidhjen e problemeve që lidhen me të dhënat (Master i Shkencave në Informatikë Ekonomike, f. 2).
- Mundësitë e punësimit përfshijnë pozita si personel IT dhe specialistë të kualifikuar IT, që janë të përshtatshme për objektivin e karrierës (Master i Shkencave në Informatikë Ekonomike, f. 1).
## Lëndët përkatëse
**Master i Shkencave në Informatikë Ekonomike:**
- Sistemet e vendimarrjes në Excel
- Inteligjenca artificiale
- SQL server dhe platformat e raportimit
- Menaxhim në Big Data
- Praktikë profesionale
**Master i Shkencave në Teknologji Informacioni:**
- Zhvillim i avancuar i softwerëve
- Menaxhim në Big Data
- Inteligjenca artificiale
- Praktikë profesionale
## Drejtimi i karrierës
**Master i Shkencave në Informatikë Ekonomike:**
- Ekonomistë, profili Menaxhim dhe Financë-Kontabilitet
- Personel IT, profili Programist Java
- Personel IT, profili Bazë të Dhënash
- Personel IT, profili Menaxhim Rrjetash (Master i Shkencave në Informatikë Ekonomike, f. 1).
**Master i Shkencave në Teknologji Informacioni:**
Nuk e gjej këtë informacion në dokumentet e disponueshme.
## Burimet
- Burimi: Master i Shkencave në Informatikë Ekonomike, faqja 1, 2
- Burimi: Master i Shkencave në Teknologji Informacioni</t>
        </is>
      </c>
      <c r="H145" s="25" t="inlineStr">
        <is>
          <t>MSH-Informatike-Ekonomike-AL.pdf (f. 1, 2) | MSc_-Teknologji-Informacioni.pdf</t>
        </is>
      </c>
      <c r="I145" s="25" t="n">
        <v>10.3</v>
      </c>
      <c r="J145" s="26" t="inlineStr">
        <is>
          <t>Pjesërisht e saktë</t>
        </is>
      </c>
      <c r="K145" s="26" t="inlineStr">
        <is>
          <t>po</t>
        </is>
      </c>
      <c r="L145" s="25" t="inlineStr">
        <is>
          <t>Si ekzekutimi 2: TI 'e mesme' për karrierën pa të dhëna; pohon se 'SQL dhe Python janë të përfshira në lëndët', Python nuk përmendet te dokumenti.</t>
        </is>
      </c>
    </row>
    <row r="146" ht="695.5" customHeight="1" s="19">
      <c r="A146" s="25" t="n">
        <v>29</v>
      </c>
      <c r="B146" s="25" t="inlineStr">
        <is>
          <t>C</t>
        </is>
      </c>
      <c r="C146" s="25" t="inlineStr">
        <is>
          <t>po</t>
        </is>
      </c>
      <c r="D146" s="25" t="inlineStr">
        <is>
          <t>Krahaso Master i Shkencave në Informatikë Ekonomike me Master i Shkencave në Teknologji Informacioni për objektivin tim.</t>
        </is>
      </c>
      <c r="E146" s="25" t="inlineStr">
        <is>
          <t>Tabelë me vlerësime cilësore (e lartë/e mesme/e ulët/pa të dhëna); të dy 120 ECTS; të dy kanë Projektim i bazave të të dhënave, SQL server, Big Data (te TI vetëm në profilin Zhvillim Softweresh); dokumenti i TI nuk ka objektiva apo mundësi punësimi, pra 'pa të dhëna' për këtë; segmente nga të dy programet</t>
        </is>
      </c>
      <c r="F146" s="25" t="n">
        <v>5</v>
      </c>
      <c r="G146" s="25" t="inlineStr">
        <is>
          <t>## Krahasimi
| Kriteret                                   | Master i Shkencave në Informatikë Ekonomike | Master i Shkencave në Teknologji Informacioni |
|--------------------------------------------|----------------------------------------------|------------------------------------------------|
| Përshtatja me profilin                     | e lartë                                      | e mesme                                        |
| Përmbajtja e programimit                   | e lartë                                      | e mesme                                        |
| Fokusi te të dhënat/fusha e objektivit     | e lartë                                      | e lartë                                        |
| Përputhja me karrierën                     | e lartë                                      | e mesme                                        |
## Rekomandimi
Master i Shkencave në Informatikë Ekonomike
## Pse
- Programi ofron njohuri të thelluara në IT dhe ekonomike, të cilat janë të rëndësishme për një Data Engineer (interpretim).
- Aftësimi për të punuar me sisteme të informacionit dhe zgjidhjen e problemeve ekonomike është në përputhje me objektivin e karrierës (Burimi: Master i Shkencave në Informatikë Ekonomike, f. 1).
- Mundësitë e punësimit përfshijnë pozita si Personel IT, profili Menaxhim të Dhënash, që është i lidhur ngushtë me rolin e Data Engineer (Burimi: Master i Shkencave në Informatikë Ekonomike, f. 1).
## Lëndët përkatëse
**Master i Shkencave në Informatikë Ekonomike:**
- Sistemet e vendimarrjes në Excel
- Inteligjenca artificiale
- SQL server dhe platformat e raportimit
- Menaxhim në Big Data
- Tregjet e kapitaleve dhe Institucionet Financiare
- Marketing Digjital dhe Media Sociale
- Menaxhim financiar
- Praktikë profesionale (Burimi: Master i Shkencave në Informatikë Ekonomike, f. 2)
**Master i Shkencave në Teknologji Informacioni:**
- Zhvillim i avancuar i softwerëve
- Menaxhim në Big Data
- Inteligjenca artificiale
- Aftësi Menaxheriale
- Menaxhimi i inovacionit
- Menaxhim financiar
- Praktikë profesionale (Burimi: Master i Shkencave në Teknologji Informacioni, f. 1)
## Drejtimi i karrierës
**Master i Shkencave në Informatikë Ekonomike:**
- Ekonomistë, profili Menaxhim dhe Financë-Kontabilitet
- Personel IT, profili Programist Java
- Personel IT, profili Bazë të Dhënash
- Personel IT, profili Menaxhim Rrjetash (Burimi: Master i Shkencave në Informatikë Ekonomike, f. 1)
**Master i Shkencave në Teknologji Informacioni:**
- Nuk e gjej këtë informacion në dokumentet e disponueshme.
## Burimet
- Burimi: Master i Shkencave në Informatikë Ekonomike, faqja 1, 2
- Burimi: Master i Shkencave në Teknologji Informacioni, faqja 1</t>
        </is>
      </c>
      <c r="H146" s="25" t="inlineStr">
        <is>
          <t>MSH-Informatike-Ekonomike-AL.pdf (f. 1, 2) | MSc_-Teknologji-Informacioni.pdf (f. 1)</t>
        </is>
      </c>
      <c r="I146" s="25" t="n">
        <v>9.800000000000001</v>
      </c>
      <c r="J146" s="26" t="inlineStr">
        <is>
          <t>Pjesërisht e saktë</t>
        </is>
      </c>
      <c r="K146" s="26" t="inlineStr">
        <is>
          <t>po</t>
        </is>
      </c>
      <c r="L146" s="25" t="inlineStr">
        <is>
          <t>TI 'e mesme' për karrierën pa të dhëna; shton rolin 'Personel IT, profili Menaxhim të Dhënash', që nuk ekziston te dokumenti i IE (janë Programist Java, Bazë të Dhënash, Menaxhim Rrjetash).</t>
        </is>
      </c>
    </row>
    <row r="147" ht="57.45" customHeight="1" s="19">
      <c r="A147" s="23" t="n">
        <v>30</v>
      </c>
      <c r="B147" s="23" t="inlineStr">
        <is>
          <t>C</t>
        </is>
      </c>
      <c r="C147" s="23" t="inlineStr">
        <is>
          <t>po</t>
        </is>
      </c>
      <c r="D147" s="23" t="inlineStr">
        <is>
          <t>Çfarë aftësish më mungojnë për t'u bërë Data Engineer?</t>
        </is>
      </c>
      <c r="E147" s="23" t="inlineStr">
        <is>
          <t>Liston lëndët që mbulojnë aftësi të lidhura me të dhënat; thotë hapur që nivelet e kërkuara të aftësive / rezultatet e të nxënit për lëndët nuk specifikohen në dokumente; nuk shpik nivele</t>
        </is>
      </c>
      <c r="F147" s="23" t="n">
        <v>1</v>
      </c>
      <c r="G147" s="23" t="inlineStr">
        <is>
          <t>(Teksti i përgjigjes së ekzekutimit origjinal nuk është i disponueshëm – vlerësimi është marrë nga Shtojca A.)</t>
        </is>
      </c>
      <c r="H147" s="23" t="n"/>
      <c r="I147" s="23" t="n">
        <v>12.19</v>
      </c>
      <c r="J147" s="24" t="inlineStr">
        <is>
          <t>Pjesërisht e saktë</t>
        </is>
      </c>
      <c r="K147" s="24" t="inlineStr">
        <is>
          <t>jo</t>
        </is>
      </c>
      <c r="L147" s="23" t="n"/>
    </row>
    <row r="148" ht="415.65" customHeight="1" s="19">
      <c r="A148" s="25" t="n">
        <v>30</v>
      </c>
      <c r="B148" s="25" t="inlineStr">
        <is>
          <t>C</t>
        </is>
      </c>
      <c r="C148" s="25" t="inlineStr">
        <is>
          <t>po</t>
        </is>
      </c>
      <c r="D148" s="25" t="inlineStr">
        <is>
          <t>Çfarë aftësish më mungojnë për t'u bërë Data Engineer?</t>
        </is>
      </c>
      <c r="E148" s="25" t="inlineStr">
        <is>
          <t>Liston lëndët që mbulojnë aftësi të lidhura me të dhënat; thotë hapur që nivelet e kërkuara të aftësive / rezultatet e të nxënit për lëndët nuk specifikohen në dokumente; nuk shpik nivele</t>
        </is>
      </c>
      <c r="F148" s="25" t="n">
        <v>2</v>
      </c>
      <c r="G148" s="25" t="inlineStr">
        <is>
          <t>## Rekomandimi
Master i Shkencave në Informatikë Ekonomike
## Pse i përshtatet profilit tënd
- Programi ofron njohuri në sistemet e informacionit, të cilat janë thelbësore për një Data Engineer (Master i Shkencave në Informatikë Ekonomike, f. 1).
- Aftësitë në komunikimin e të dhënave dhe zhvillimin e aftësive kërkimore janë të rëndësishme për rolin e Data Engineer (Master i Shkencave në Informatikë Ekonomike, f. 1).
- Profili i studentit përfshin aftësi teknike në SQL dhe Python, të cilat janë të rëndësishme për këtë program (interpretim).
## Lëndët përkatëse
Nuk e gjej këtë informacion në dokumentet e disponueshme.
## Boshllëqet e aftësive
**Aftësia** — Aktuale: SQL, Python | E kërkuar: nuk specifikohet në dokumente | Mbulohet nga: asnjë lëndë e gjetur | Boshllëku: i mesëm
Dokumentet aktuale nuk përmbajnë nivele të kërkuara të aftësive, prandaj niveli i boshllëkut nuk mund të përcaktohet. Duhen shtuar rezultatet e të nxënit të lëndëve.
## Rruga e sugjeruar
1. Apliko për Masterin e Shkencave në Informatikë Ekonomike.
2. Fokusohu në zhvillimin e njohurive në sistemet e informacionit dhe komunikimin e të dhënave.
3. Zhvillo më tej aftësitë në SQL dhe Python për të përmirësuar profilin tënd.
## Drejtimi i karrierës
Mundësitë për punësim pas përfundimit të studimeve përfshijnë: 
- Personel IT, profili Programist Java
- Personel IT, profili Bazë të Dhënash
- Personel IT, profili Menaxhim Rrjetash (Master i Shkencave në Informatikë Ekonomike, f. 1).
## Burimet
- Burimi: Master i Shkencave në Informatikë Ekonomike, faqja 1</t>
        </is>
      </c>
      <c r="H148" s="25" t="inlineStr">
        <is>
          <t>MSH-Informatike-Ekonomike-AL.pdf (f. 1)</t>
        </is>
      </c>
      <c r="I148" s="25" t="n">
        <v>7.7</v>
      </c>
      <c r="J148" s="26" t="inlineStr">
        <is>
          <t>Pjesërisht e saktë</t>
        </is>
      </c>
      <c r="K148" s="26" t="inlineStr">
        <is>
          <t>po</t>
        </is>
      </c>
      <c r="L148" s="25" t="inlineStr">
        <is>
          <t>Thotë hapur se nivelet nuk specifikohen, por vendos 'Boshllëku: i mesëm/i madh', nuk liston lëndët që mbulojnë aftësi të dhënash, dhe te ekzekutimet 3 dhe 5 paraqet matematikën e zbatuar, statistikën, ekonometrinë dhe rrjetat si 'të kërkuara' për Data Engineer, pa mbështetje.</t>
        </is>
      </c>
    </row>
    <row r="149" ht="494" customHeight="1" s="19">
      <c r="A149" s="25" t="n">
        <v>30</v>
      </c>
      <c r="B149" s="25" t="inlineStr">
        <is>
          <t>C</t>
        </is>
      </c>
      <c r="C149" s="25" t="inlineStr">
        <is>
          <t>po</t>
        </is>
      </c>
      <c r="D149" s="25" t="inlineStr">
        <is>
          <t>Çfarë aftësish më mungojnë për t'u bërë Data Engineer?</t>
        </is>
      </c>
      <c r="E149" s="25" t="inlineStr">
        <is>
          <t>Liston lëndët që mbulojnë aftësi të lidhura me të dhënat; thotë hapur që nivelet e kërkuara të aftësive / rezultatet e të nxënit për lëndët nuk specifikohen në dokumente; nuk shpik nivele</t>
        </is>
      </c>
      <c r="F149" s="25" t="n">
        <v>3</v>
      </c>
      <c r="G149" s="25" t="inlineStr">
        <is>
          <t>## Rekomandimi
Master i Shkencave në Informatikë Ekonomike
## Pse i përshtatet profilit tënd
- Programi ofron njohuri të spikatura në sistemet e informacionit, të cilat janë thelbësore për një Data Engineer (Master i Shkencave në Informatikë Ekonomike, f. 1).
- Aftësitë në komunikimin e të dhënave dhe zhvillimin e aftësive kërkimore në fushën e ekonomisë dhe financës janë të rëndësishme për rolin e Data Engineer (Master i Shkencave në Informatikë Ekonomike, f. 1).
- Profili i studentit përfshin aftësi teknike si SQL dhe Python, që janë të rëndësishme për këtë program (interpretim).
## Lëndët përkatëse
Nuk e gjej këtë informacion në dokumentet e disponueshme.
## Boshllëqet e aftësive
**Aftësia** — Aktuale: SQL, Python | E kërkuar: nuk specifikohet në dokumente | Mbulohet nga: asnjë lëndë e gjetur | Boshllëku: i mesëm
**Aftësia** — Aktuale: nuk është dhënë | E kërkuar: njohuri në matematikë të zbatuar, statistikë, ekonometri | Mbulohet nga: asnjë lëndë e gjetur | Boshllëku: i madh
**Aftësia** — Aktuale: nuk është dhënë | E kërkuar: njohuri në rrjetat kompjuterike | Mbulohet nga: asnjë lëndë e gjetur | Boshllëku: i madh
Dokumentet aktuale nuk përmbajnë nivele të kërkuara të aftësive, prandaj niveli i boshllëkut nuk mund të përcaktohet. Duhen shtuar rezultatet e të nxënit të lëndëve.
## Rruga e sugjeruar
1. Apliko për Masterin e Shkencave në Informatikë Ekonomike.
2. Fokusohu në zhvillimin e njohurive në matematikë të zbatuar dhe statistikë.
3. Zhvillo aftësi të avancuara në rrjetat kompjuterike.
## Drejtimi i karrierës
Mundësitë për punësim pas përfundimit të studimeve përfshijnë: 
- Ekonomistë, profili Menaxhim dhe Financë-Kontabilitet
- Personel IT, profili Programist Java
- Personel IT, profili Bazë të Dhënash
- Personel IT, profili Menaxhim Rrjetash (Master i Shkencave në Informatikë Ekonomike, f. 1).
## Burimet
- Burimi: Master i Shkencave në Informatikë Ekonomike, faqja 1</t>
        </is>
      </c>
      <c r="H149" s="25" t="inlineStr">
        <is>
          <t>MSH-Informatike-Ekonomike-AL.pdf (f. 1)</t>
        </is>
      </c>
      <c r="I149" s="25" t="n">
        <v>8.98</v>
      </c>
      <c r="J149" s="26" t="inlineStr">
        <is>
          <t>Pjesërisht e saktë</t>
        </is>
      </c>
      <c r="K149" s="26" t="inlineStr">
        <is>
          <t>po</t>
        </is>
      </c>
      <c r="L149" s="25" t="inlineStr">
        <is>
          <t>Thotë hapur se nivelet nuk specifikohen, por vendos 'Boshllëku: i mesëm/i madh', nuk liston lëndët që mbulojnë aftësi të dhënash, dhe te ekzekutimet 3 dhe 5 paraqet matematikën e zbatuar, statistikën, ekonometrinë dhe rrjetat si 'të kërkuara' për Data Engineer, pa mbështetje.</t>
        </is>
      </c>
    </row>
    <row r="150" ht="494" customHeight="1" s="19">
      <c r="A150" s="25" t="n">
        <v>30</v>
      </c>
      <c r="B150" s="25" t="inlineStr">
        <is>
          <t>C</t>
        </is>
      </c>
      <c r="C150" s="25" t="inlineStr">
        <is>
          <t>po</t>
        </is>
      </c>
      <c r="D150" s="25" t="inlineStr">
        <is>
          <t>Çfarë aftësish më mungojnë për t'u bërë Data Engineer?</t>
        </is>
      </c>
      <c r="E150" s="25" t="inlineStr">
        <is>
          <t>Liston lëndët që mbulojnë aftësi të lidhura me të dhënat; thotë hapur që nivelet e kërkuara të aftësive / rezultatet e të nxënit për lëndët nuk specifikohen në dokumente; nuk shpik nivele</t>
        </is>
      </c>
      <c r="F150" s="25" t="n">
        <v>4</v>
      </c>
      <c r="G150" s="25" t="inlineStr">
        <is>
          <t>## Rekomandimi
Master i Shkencave në Informatikë Ekonomike
## Pse i përshtatet profilit tënd
- Programi ofron njohuri të spikatura në rrjetat kompjuterike, të cilat janë të rëndësishme për një Data Engineer (Master i Shkencave në Informatikë Ekonomike, f. 1).
- Aftësitë për të zgjidhur probleme ekonomike me anë të sistemeve të informacionit janë të nevojshme për rolin e Data Engineer (Master i Shkencave në Informatikë Ekonomike, f. 1).
- Programi përfshin komunikimin e të dhënave dhe zhvillimin e aftësive kërkimore, të cilat janë të rëndësishme për analizën e të dhënave (Master i Shkencave në Informatikë Ekonomike, f. 1).
## Lëndët përkatëse
Nuk e gjej këtë informacion në dokumentet e disponueshme.
## Boshllëqet e aftësive
**Aftësia** — Aktuale: SQL, Python | E kërkuar: nuk specifikohet në dokumente | Mbulohet nga: asnjë lëndë e gjetur | Boshllëku: i madh  
**Aftësia** — Aktuale: nuk është dhënë | E kërkuar: nuk specifikohet në dokumente | Mbulohet nga: asnjë lëndë e gjetur | Boshllëku: i madh  
**Aftësia** — Aktuale: nuk është dhënë | E kërkuar: nuk specifikohet në dokumente | Mbulohet nga: asnjë lëndë e gjetur | Boshllëku: i madh  
Dokumentet aktuale nuk përmbajnë nivele të kërkuara të aftësive, prandaj niveli i boshllëkut nuk mund të përcaktohet. Duhen shtuar rezultatet e të nxënit të lëndëve.
## Rruga e sugjeruar
1. Apliko për Masterin e Shkencave në Informatikë Ekonomike.
2. Fokusohu në zhvillimin e aftësive në rrjetat kompjuterike dhe sistemet e informacionit.
3. Merr pjesë në projekte praktike që lidhen me analizën e të dhënave.
## Drejtimi i karrierës
Mundësitë për punësim pas përfundimit të studimeve përfshijnë: 
- Ekonomistë, profili Menaxhim dhe Financë-Kontabilitet
- Personel IT, profili Programist Java
- Personel IT, profili Bazë të Dhënash
- Personel IT, profili Menaxhim Rrjetash (Master i Shkencave në Informatikë Ekonomike, f. 1).
## Burimet
- Burimi: Master i Shkencave në Informatikë Ekonomike, faqja 1</t>
        </is>
      </c>
      <c r="H150" s="25" t="inlineStr">
        <is>
          <t>MSH-Informatike-Ekonomike-AL.pdf (f. 1)</t>
        </is>
      </c>
      <c r="I150" s="25" t="n">
        <v>9.109999999999999</v>
      </c>
      <c r="J150" s="26" t="inlineStr">
        <is>
          <t>Pjesërisht e saktë</t>
        </is>
      </c>
      <c r="K150" s="26" t="inlineStr">
        <is>
          <t>po</t>
        </is>
      </c>
      <c r="L150" s="25" t="inlineStr">
        <is>
          <t>Thotë hapur se nivelet nuk specifikohen, por vendos 'Boshllëku: i mesëm/i madh', nuk liston lëndët që mbulojnë aftësi të dhënash, dhe te ekzekutimet 3 dhe 5 paraqet matematikën e zbatuar, statistikën, ekonometrinë dhe rrjetat si 'të kërkuara' për Data Engineer, pa mbështetje.</t>
        </is>
      </c>
    </row>
    <row r="151" ht="482.8" customHeight="1" s="19">
      <c r="A151" s="25" t="n">
        <v>30</v>
      </c>
      <c r="B151" s="25" t="inlineStr">
        <is>
          <t>C</t>
        </is>
      </c>
      <c r="C151" s="25" t="inlineStr">
        <is>
          <t>po</t>
        </is>
      </c>
      <c r="D151" s="25" t="inlineStr">
        <is>
          <t>Çfarë aftësish më mungojnë për t'u bërë Data Engineer?</t>
        </is>
      </c>
      <c r="E151" s="25" t="inlineStr">
        <is>
          <t>Liston lëndët që mbulojnë aftësi të lidhura me të dhënat; thotë hapur që nivelet e kërkuara të aftësive / rezultatet e të nxënit për lëndët nuk specifikohen në dokumente; nuk shpik nivele</t>
        </is>
      </c>
      <c r="F151" s="25" t="n">
        <v>5</v>
      </c>
      <c r="G151" s="25" t="inlineStr">
        <is>
          <t>## Rekomandimi
Master i Shkencave në Informatikë Ekonomike
## Pse i përshtatet profilit tënd
- Programi ofron njohuri të spikatura në sistemet e informacionit, të cilat janë thelbësore për një Data Engineer (Master i Shkencave në Informatikë Ekonomike, f. 1).
- Aftësitë në komunikimin e të dhënave dhe zhvillimin e aftësive kërkimore në fushën e ekonomisë dhe financës janë të rëndësishme për analizën e të dhënave (Master i Shkencave në Informatikë Ekonomike, f. 1).
- Profili i studentit përfshin aftësi teknike si SQL dhe Python, të cilat janë të kërkuara në këtë program (interpretim).
## Lëndët përkatëse
Nuk e gjej këtë informacion në dokumentet e disponueshme.
## Boshllëqet e aftësive
**Aftësia** — Aktuale: SQL, Python | E kërkuar: nuk specifikohet në dokumente | Mbulohet nga: asnjë lëndë e gjetur | Boshllëku: i madh
**Aftësia** — Aktuale: nuk është dhënë | E kërkuar: njohuri në matematikë të zbatuar, statistikë, ekonometri | Mbulohet nga: asnjë lëndë e gjetur | Boshllëku: i madh
**Aftësia** — Aktuale: nuk është dhënë | E kërkuar: njohuri në rrjetat kompjuterike | Mbulohet nga: asnjë lëndë e gjetur | Boshllëku: i madh
Dokumentet aktuale nuk përmbajnë nivele të kërkuara të aftësive, prandaj niveli i boshllëkut nuk mund të përcaktohet. Duhen shtuar rezultatet e të nxënit të lëndëve.
## Rruga e sugjeruar
1. Apliko për Masterin e Shkencave në Informatikë Ekonomike.
2. Fokusohu në zhvillimin e njohurive në matematikë të zbatuar dhe statistikë.
3. Zhvillo aftësitë në rrjetat kompjuterike për të mbështetur punën me të dhënat.
## Drejtimi i karrierës
Mundësitë për punësim pas përfundimit të studimeve përfshijnë: 
- Personel IT, profili Programist Java
- Personel IT, profili Bazë të Dhënash
- Personel IT, profili Menaxhim Rrjetash (Master i Shkencave në Informatikë Ekonomike, f. 1).
## Burimet
- Burimi: Master i Shkencave në Informatikë Ekonomike, faqja 1</t>
        </is>
      </c>
      <c r="H151" s="25" t="inlineStr">
        <is>
          <t>MSH-Informatike-Ekonomike-AL.pdf (f. 1)</t>
        </is>
      </c>
      <c r="I151" s="25" t="n">
        <v>8.08</v>
      </c>
      <c r="J151" s="26" t="inlineStr">
        <is>
          <t>Pjesërisht e saktë</t>
        </is>
      </c>
      <c r="K151" s="26" t="inlineStr">
        <is>
          <t>po</t>
        </is>
      </c>
      <c r="L151" s="25" t="inlineStr">
        <is>
          <t>Thotë hapur se nivelet nuk specifikohen, por vendos 'Boshllëku: i mesëm/i madh', nuk liston lëndët që mbulojnë aftësi të dhënash, dhe te ekzekutimet 3 dhe 5 paraqet matematikën e zbatuar, statistikën, ekonometrinë dhe rrjetat si 'të kërkuara' për Data Engineer, pa mbështetje.</t>
        </is>
      </c>
    </row>
    <row r="152" ht="102.2" customHeight="1" s="19">
      <c r="A152" s="23" t="n">
        <v>31</v>
      </c>
      <c r="B152" s="23" t="inlineStr">
        <is>
          <t>C</t>
        </is>
      </c>
      <c r="C152" s="23" t="inlineStr">
        <is>
          <t>po</t>
        </is>
      </c>
      <c r="D152" s="23" t="inlineStr">
        <is>
          <t>Po sikur të zgjedh Master Profesional në Informatikë e Aplikuar me profilin Siguria e sistemeve të informacionit në vend të profilit Menaxhim të dhënash?</t>
        </is>
      </c>
      <c r="E152" s="23" t="inlineStr">
        <is>
          <t>Profili Siguria: Kontrolli dhe auditimi i sigurisë në rrjetat kompjuterike, Menaxhimi i riskut në IT, Kriptografia dhe Ethical Hacking (6 ECTS secila); profili Menaxhim të dhënash: SQL server, Kriptografia dhe Ethical Hacking, Menaxhim në Big Data; Siguria përputhet më pak me objektivin Data Engineer (interpretim); programi 60 ECTS</t>
        </is>
      </c>
      <c r="F152" s="23" t="n">
        <v>1</v>
      </c>
      <c r="G152" s="23" t="inlineStr">
        <is>
          <t>(Teksti i përgjigjes së ekzekutimit origjinal nuk është i disponueshëm – vlerësimi është marrë nga Shtojca A.)</t>
        </is>
      </c>
      <c r="H152" s="23" t="n"/>
      <c r="I152" s="23" t="n">
        <v>7.58</v>
      </c>
      <c r="J152" s="24" t="inlineStr">
        <is>
          <t>Pjesërisht e saktë</t>
        </is>
      </c>
      <c r="K152" s="24" t="inlineStr">
        <is>
          <t>po</t>
        </is>
      </c>
      <c r="L152" s="23" t="n"/>
    </row>
    <row r="153" ht="382.05" customHeight="1" s="19">
      <c r="A153" s="25" t="n">
        <v>31</v>
      </c>
      <c r="B153" s="25" t="inlineStr">
        <is>
          <t>C</t>
        </is>
      </c>
      <c r="C153" s="25" t="inlineStr">
        <is>
          <t>po</t>
        </is>
      </c>
      <c r="D153" s="25" t="inlineStr">
        <is>
          <t>Po sikur të zgjedh Master Profesional në Informatikë e Aplikuar me profilin Siguria e sistemeve të informacionit në vend të profilit Menaxhim të dhënash?</t>
        </is>
      </c>
      <c r="E153" s="25" t="inlineStr">
        <is>
          <t>Profili Siguria: Kontrolli dhe auditimi i sigurisë në rrjetat kompjuterike, Menaxhimi i riskut në IT, Kriptografia dhe Ethical Hacking (6 ECTS secila); profili Menaxhim të dhënash: SQL server, Kriptografia dhe Ethical Hacking, Menaxhim në Big Data; Siguria përputhet më pak me objektivin Data Engineer (interpretim); programi 60 ECTS</t>
        </is>
      </c>
      <c r="F153" s="25" t="n">
        <v>2</v>
      </c>
      <c r="G153" s="25" t="inlineStr">
        <is>
          <t>## Alternativa e re
Master Profesional në Informatikë e Aplikuar me profilin Siguria e sistemeve të informacionit.
## Çfarë ndryshon
Ndryshimi i fokusit nga Menaxhim të dhënash në Siguria e sistemeve të informacionit do të përqendrohet më shumë në aspekte të sigurisë dhe mbrojtjes së informacionit, duke përfshirë lëndë si Kriptografia dhe Ethical Hacking, dhe Kontrolli dhe auditimi i sigurisë në rrjetat kompjuterike.
## Lëndët që bëhen më të rëndësishme
- Kriptografia dhe Ethical Hacking (2, 6 ECTS)
- Kontrolli dhe auditimi i sigurisë në rrjetat kompjuterike (2, 6 ECTS)
- Menaxhimi i riskut në IT (1, 6 ECTS) (Master Profesional në Informatikë e Aplikuar, f. 1)
## Aftësitë që bëhen më të rëndësishme
Aftësitë teknike në fushën e sigurisë së informacionit, përfshirë njohuritë në kriptografi dhe menaxhimin e riskut, bëhen më të rëndësishme në krahasim me fokusin në menaxhimin e të dhënave.
## Rruga e sugjeruar
1. Regjistrohu në Master Profesional në Informatikë e Aplikuar.
2. Zgjidh lëndët e specializuara në Sigurinë e sistemeve të informacionit.
3. Merr pjesë në praktikë profesionale për të fituar përvojë në fushën e sigurisë.
4. Puno në projektin e diplomës në një temë që lidhet me sigurinë e informacionit.
## Drejtimi i karrierës
Mundësitë për punësim përfshijnë pozita si specialistë të sigurisë së informacionit, analistë të sigurisë dhe ekspertë në kriptografi (Master Profesional në Informatikë e Aplikuar, f. 1).
## Burimet
- Burimi: Master Profesional në Informatikë e Aplikuar, faqja 1</t>
        </is>
      </c>
      <c r="H153" s="25" t="inlineStr">
        <is>
          <t>MP-Informatike-e-Aplikuar.pdf (f. 1)</t>
        </is>
      </c>
      <c r="I153" s="25" t="n">
        <v>8.390000000000001</v>
      </c>
      <c r="J153" s="26" t="inlineStr">
        <is>
          <t>Pjesërisht e saktë</t>
        </is>
      </c>
      <c r="K153" s="26" t="inlineStr">
        <is>
          <t>po</t>
        </is>
      </c>
      <c r="L153" s="25" t="inlineStr">
        <is>
          <t>Lëndët e profilit Siguria (6 ECTS secila) janë të sakta. Pjesa 'Drejtimi i karrierës' (specialist/analist/inxhinier sigurie, ekspert kriptografie) është e shpikur: dokumenti MP Informatikë e Aplikuar ka vetëm planin mësimor, pa mundësi punësimi. Mungon krahasimi me lëndët e profilit Menaxhim të dhënash.</t>
        </is>
      </c>
    </row>
    <row r="154" ht="326.1" customHeight="1" s="19">
      <c r="A154" s="25" t="n">
        <v>31</v>
      </c>
      <c r="B154" s="25" t="inlineStr">
        <is>
          <t>C</t>
        </is>
      </c>
      <c r="C154" s="25" t="inlineStr">
        <is>
          <t>po</t>
        </is>
      </c>
      <c r="D154" s="25" t="inlineStr">
        <is>
          <t>Po sikur të zgjedh Master Profesional në Informatikë e Aplikuar me profilin Siguria e sistemeve të informacionit në vend të profilit Menaxhim të dhënash?</t>
        </is>
      </c>
      <c r="E154" s="25" t="inlineStr">
        <is>
          <t>Profili Siguria: Kontrolli dhe auditimi i sigurisë në rrjetat kompjuterike, Menaxhimi i riskut në IT, Kriptografia dhe Ethical Hacking (6 ECTS secila); profili Menaxhim të dhënash: SQL server, Kriptografia dhe Ethical Hacking, Menaxhim në Big Data; Siguria përputhet më pak me objektivin Data Engineer (interpretim); programi 60 ECTS</t>
        </is>
      </c>
      <c r="F154" s="25" t="n">
        <v>3</v>
      </c>
      <c r="G154" s="25" t="inlineStr">
        <is>
          <t>## Alternativa e re
Master Profesional në Informatikë e Aplikuar me profilin Siguria e sistemeve të informacionit.
## Çfarë ndryshon
Rruga e re fokusohet në aspekte të sigurisë së informacionit, duke përfshirë kriptografinë dhe menaxhimin e riskut në IT, në vend të menaxhimit të të dhënave.
## Lëndët që bëhen më të rëndësishme
- Kriptografia dhe Ethical Hacking (2, 2, 6 ECTS)
- Kontrolli dhe auditimi i sigurisë në rrjetat kompjuterike (2, 2, 6 ECTS)
- Menaxhimi i riskut në IT (2, 1, 6 ECTS)
## Aftësitë që bëhen më të rëndësishme
Aftësitë teknike në sigurinë e informacionit dhe kriptografi, të cilat nuk ishin thelbësore në profilin e mëparshëm.
## Rruga e sugjeruar
1. Regjistrohu në Master Profesional në Informatikë e Aplikuar.
2. Fokusohu në lëndët e sigurisë së informacionit.
3. Zhvillo aftësi praktike përmes praktikës profesionale.
## Drejtimi i karrierës
Mundësi punësimi si specialist në sigurinë e informacionit, duke përfshirë pozita si analist i sigurisë dhe inxhinier i sigurisë (Burimi: Master Profesional në Informatikë e Aplikuar, f. 1).
## Burimet
- Burimi: Master Profesional në Informatikë e Aplikuar, faqja 1</t>
        </is>
      </c>
      <c r="H154" s="25" t="inlineStr">
        <is>
          <t>MP-Informatike-e-Aplikuar.pdf (f. 1)</t>
        </is>
      </c>
      <c r="I154" s="25" t="n">
        <v>10.12</v>
      </c>
      <c r="J154" s="26" t="inlineStr">
        <is>
          <t>Pjesërisht e saktë</t>
        </is>
      </c>
      <c r="K154" s="26" t="inlineStr">
        <is>
          <t>po</t>
        </is>
      </c>
      <c r="L154" s="25" t="inlineStr">
        <is>
          <t>Lëndët e profilit Siguria (6 ECTS secila) janë të sakta. Pjesa 'Drejtimi i karrierës' (specialist/analist/inxhinier sigurie, ekspert kriptografie) është e shpikur: dokumenti MP Informatikë e Aplikuar ka vetëm planin mësimor, pa mundësi punësimi. Mungon krahasimi me lëndët e profilit Menaxhim të dhënash.</t>
        </is>
      </c>
    </row>
    <row r="155" ht="370.85" customHeight="1" s="19">
      <c r="A155" s="25" t="n">
        <v>31</v>
      </c>
      <c r="B155" s="25" t="inlineStr">
        <is>
          <t>C</t>
        </is>
      </c>
      <c r="C155" s="25" t="inlineStr">
        <is>
          <t>po</t>
        </is>
      </c>
      <c r="D155" s="25" t="inlineStr">
        <is>
          <t>Po sikur të zgjedh Master Profesional në Informatikë e Aplikuar me profilin Siguria e sistemeve të informacionit në vend të profilit Menaxhim të dhënash?</t>
        </is>
      </c>
      <c r="E155" s="25" t="inlineStr">
        <is>
          <t>Profili Siguria: Kontrolli dhe auditimi i sigurisë në rrjetat kompjuterike, Menaxhimi i riskut në IT, Kriptografia dhe Ethical Hacking (6 ECTS secila); profili Menaxhim të dhënash: SQL server, Kriptografia dhe Ethical Hacking, Menaxhim në Big Data; Siguria përputhet më pak me objektivin Data Engineer (interpretim); programi 60 ECTS</t>
        </is>
      </c>
      <c r="F155" s="25" t="n">
        <v>4</v>
      </c>
      <c r="G155" s="25" t="inlineStr">
        <is>
          <t>## Alternativa e re
Master Profesional në Informatikë e Aplikuar me profilin Siguria e sistemeve të informacionit.
## Çfarë ndryshon
Rrugën e mëparshme e përqendruar në Menaxhim të dhënash do ta zëvendësojë një fokus në Sigurinë e sistemeve të informacionit, duke u orientuar më shumë në aspekte të sigurisë dhe mbrojtjes së të dhënave.
## Lëndët që bëhen më të rëndësishme
- Kontrolli dhe auditimi i sigurisë në rrjetat kompjuterike (2, 6 ECTS)
- Menaxhimi i riskut në IT (1, 6 ECTS)
- Kriptografia dhe Ethical Hacking (2, 6 ECTS) (Master Profesional në Informatikë e Aplikuar, f. 1)
## Aftësitë që bëhen më të rëndësishme
Aftësitë në fushën e sigurisë së informacionit, si kontrolli dhe auditimi i sigurisë, menaxhimi i riskut dhe kriptografia, do të bëhen më të rëndësishme. Kjo është në kontrast me fokusin më të madh në menaxhimin e të dhënave që kishte profili i mëparshëm (interpretim).
## Rruga e sugjeruar
1. Regjistrohu në Master Profesional në Informatikë e Aplikuar.
2. Fokusohu në lëndët që lidhen me Sigurinë e sistemeve të informacionit.
3. Merr pjesë në praktikë profesionale për të fituar përvojë në këtë fushë.
4. Puno në projekte që përfshijnë aspekte të sigurisë dhe mbrojtjes së të dhënave.
## Drejtimi i karrierës
Mundësi punësimi si specialist i sigurisë së informacionit, analist i sigurisë, ose ekspert në kriptografi dhe menaxhim risku (Master Profesional në Informatikë e Aplikuar, f. 1).
## Burimet
- Burimi: Master Profesional në Informatikë e Aplikuar, faqja 1</t>
        </is>
      </c>
      <c r="H155" s="25" t="inlineStr">
        <is>
          <t>MP-Informatike-e-Aplikuar.pdf (f. 1)</t>
        </is>
      </c>
      <c r="I155" s="25" t="n">
        <v>9.789999999999999</v>
      </c>
      <c r="J155" s="26" t="inlineStr">
        <is>
          <t>Pjesërisht e saktë</t>
        </is>
      </c>
      <c r="K155" s="26" t="inlineStr">
        <is>
          <t>po</t>
        </is>
      </c>
      <c r="L155" s="25" t="inlineStr">
        <is>
          <t>Lëndët e profilit Siguria (6 ECTS secila) janë të sakta. Pjesa 'Drejtimi i karrierës' (specialist/analist/inxhinier sigurie, ekspert kriptografie) është e shpikur: dokumenti MP Informatikë e Aplikuar ka vetëm planin mësimor, pa mundësi punësimi. Mungon krahasimi me lëndët e profilit Menaxhim të dhënash.</t>
        </is>
      </c>
    </row>
    <row r="156" ht="370.85" customHeight="1" s="19">
      <c r="A156" s="25" t="n">
        <v>31</v>
      </c>
      <c r="B156" s="25" t="inlineStr">
        <is>
          <t>C</t>
        </is>
      </c>
      <c r="C156" s="25" t="inlineStr">
        <is>
          <t>po</t>
        </is>
      </c>
      <c r="D156" s="25" t="inlineStr">
        <is>
          <t>Po sikur të zgjedh Master Profesional në Informatikë e Aplikuar me profilin Siguria e sistemeve të informacionit në vend të profilit Menaxhim të dhënash?</t>
        </is>
      </c>
      <c r="E156" s="25" t="inlineStr">
        <is>
          <t>Profili Siguria: Kontrolli dhe auditimi i sigurisë në rrjetat kompjuterike, Menaxhimi i riskut në IT, Kriptografia dhe Ethical Hacking (6 ECTS secila); profili Menaxhim të dhënash: SQL server, Kriptografia dhe Ethical Hacking, Menaxhim në Big Data; Siguria përputhet më pak me objektivin Data Engineer (interpretim); programi 60 ECTS</t>
        </is>
      </c>
      <c r="F156" s="25" t="n">
        <v>5</v>
      </c>
      <c r="G156" s="25" t="inlineStr">
        <is>
          <t>## Alternativa e re
Master Profesional në Informatikë e Aplikuar me profilin Siguria e sistemeve të informacionit.
## Çfarë ndryshon
Rruga e re do të fokusohet më shumë në sigurinë e informacionit, ndërsa rruga e mëparshme ishte më e orientuar drejt menaxhimit të të dhënave. Kjo do të thotë se do të ketë një theks më të madh në lëndët që lidhen me sigurinë dhe menaxhimin e riskut.
## Lëndët që bëhen më të rëndësishme
- Kontrolli dhe auditimi i sigurisë në rrjetat kompjuterike (2, 6 ECTS)
- Menaxhimi i riskut në IT (1, 6 ECTS)
- Kriptografia dhe Ethical Hacking (2, 6 ECTS) (Master Profesional në Informatikë e Aplikuar, f. 1)
## Aftësitë që bëhen më të rëndësishme
Aftësitë në menaxhimin e sigurisë dhe riskut do të bëhen më të rëndësishme, duke u fokusuar në aspekte të tilla si kontrolli i sigurisë dhe kriptografia, krahasuar me aftësitë e mëparshme që ishin më të orientuara në menaxhimin e të dhënave (interpretim).
## Rruga e sugjeruar
1. Regjistrohu në Master Profesional në Informatikë e Aplikuar.
2. Fokusohu në lëndët që lidhen me sigurinë e informacionit.
3. Merr pjesë në praktikën profesionale për të fituar përvojë në fushën e sigurisë.
4. Puno në projektin e diplomës që lidhet me sigurinë e sistemeve të informacionit.
## Drejtimi i karrierës
Mundësitë e punësimit përfshijnë pozita si specialistë të sigurisë së informacionit, analistë të sigurisë dhe menaxherë të riskut në IT (Master Profesional në Informatikë e Aplikuar, f. 1).
## Burimet
- Burimi: Master Profesional në Informatikë e Aplikuar, faqja 1</t>
        </is>
      </c>
      <c r="H156" s="25" t="inlineStr">
        <is>
          <t>MP-Informatike-e-Aplikuar.pdf (f. 1)</t>
        </is>
      </c>
      <c r="I156" s="25" t="n">
        <v>8.710000000000001</v>
      </c>
      <c r="J156" s="26" t="inlineStr">
        <is>
          <t>Pjesërisht e saktë</t>
        </is>
      </c>
      <c r="K156" s="26" t="inlineStr">
        <is>
          <t>po</t>
        </is>
      </c>
      <c r="L156" s="25" t="inlineStr">
        <is>
          <t>Lëndët e profilit Siguria (6 ECTS secila) janë të sakta. Pjesa 'Drejtimi i karrierës' (specialist/analist/inxhinier sigurie, ekspert kriptografie) është e shpikur: dokumenti MP Informatikë e Aplikuar ka vetëm planin mësimor, pa mundësi punësimi. Mungon krahasimi me lëndët e profilit Menaxhim të dhënash.</t>
        </is>
      </c>
    </row>
    <row r="157" ht="57.45" customHeight="1" s="19">
      <c r="A157" s="23" t="n">
        <v>32</v>
      </c>
      <c r="B157" s="23" t="inlineStr">
        <is>
          <t>C</t>
        </is>
      </c>
      <c r="C157" s="23" t="inlineStr">
        <is>
          <t>po</t>
        </is>
      </c>
      <c r="D157" s="23" t="inlineStr">
        <is>
          <t>Më sugjero rrugën akademike më të përshtatshme sipas profilit tim.</t>
        </is>
      </c>
      <c r="E157" s="23" t="inlineStr">
        <is>
          <t>Përgjigje e strukturuar (rekomandimi, pse përshtatet, lëndët përkatëse, boshllëqet, rruga e sugjeruar, drejtimi i karrierës); faktet me burim; drejtimi i karrierës vetëm nga dokumentet</t>
        </is>
      </c>
      <c r="F157" s="23" t="n">
        <v>1</v>
      </c>
      <c r="G157" s="23" t="inlineStr">
        <is>
          <t>(Teksti i përgjigjes së ekzekutimit origjinal nuk është i disponueshëm – vlerësimi është marrë nga Shtojca A.)</t>
        </is>
      </c>
      <c r="H157" s="23" t="n"/>
      <c r="I157" s="23" t="n">
        <v>10.13</v>
      </c>
      <c r="J157" s="24" t="inlineStr">
        <is>
          <t>E saktë</t>
        </is>
      </c>
      <c r="K157" s="24" t="inlineStr">
        <is>
          <t>jo</t>
        </is>
      </c>
      <c r="L157" s="23" t="n"/>
    </row>
    <row r="158" ht="538.8" customHeight="1" s="19">
      <c r="A158" s="25" t="n">
        <v>32</v>
      </c>
      <c r="B158" s="25" t="inlineStr">
        <is>
          <t>C</t>
        </is>
      </c>
      <c r="C158" s="25" t="inlineStr">
        <is>
          <t>po</t>
        </is>
      </c>
      <c r="D158" s="25" t="inlineStr">
        <is>
          <t>Më sugjero rrugën akademike më të përshtatshme sipas profilit tim.</t>
        </is>
      </c>
      <c r="E158" s="25" t="inlineStr">
        <is>
          <t>Përgjigje e strukturuar (rekomandimi, pse përshtatet, lëndët përkatëse, boshllëqet, rruga e sugjeruar, drejtimi i karrierës); faktet me burim; drejtimi i karrierës vetëm nga dokumentet</t>
        </is>
      </c>
      <c r="F158" s="25" t="n">
        <v>2</v>
      </c>
      <c r="G158" s="25" t="inlineStr">
        <is>
          <t>## Rekomandimi
Master i Shkencave në Informatikë Ekonomike
## Pse i përshtatet profilit tënd
- Programi ofron njohuri të thella në sistemet e informacionit, të cilat janë të nevojshme për një Data Engineer (Master i Shkencave në Informatikë Ekonomike, f. 1).
- Lëndët e programit përfshijnë SQL server dhe platformat e raportimit, që përputhen me aftësitë tuaja teknike në SQL (Master i Shkencave në Informatikë Ekonomike, f. 2).
- Aftësitë kërkimore në fushën e ekonomisë dhe financës do të ndihmojnë në zgjidhjen e problemeve ekonomike me anë të sistemeve të informacionit, duke përmirësuar perspektivat tuaja si Data Engineer (Master i Shkencave në Informatikë Ekonomike, f. 1).
- Programi gjithashtu ofron mundësi për praktikë, që do të forcojë përvojën tuaj praktike në fushën e IT-së (Master i Shkencave në Informatikë Ekonomike, f. 2).
## Lëndët përkatëse
- SQL server dhe platformat e raportimit, II 2, 6 ECTS
- Menaxhim në Big Data, II 2, 6 ECTS
- Praktikë / internship, I 1-2, 12 ECTS
- Punimi Diplomës, II 1-2, 16 ECTS
## Boshllëqet e aftësive
**Aftësia** — Aktuale: SQL | E kërkuar: nuk specifikohet në dokumente | Mbulohet nga: SQL server dhe platformat e raportimit (Master i Shkencave në Informatikë Ekonomike, f. 2) | Boshllëku: i vogël  
**Aftësia** — Aktuale: Python | E kërkuar: nuk specifikohet në dokumente | Mbulohet nga: asnjë lëndë e gjetur | Boshllëku: i madh  
**Aftësia** — Aktuale: nuk është dhënë | E kërkuar: nuk specifikohet në dokumente | Mbulohet nga: asnjë lëndë e gjetur | Boshllëku: i madh  
Dokumentet aktuale nuk përmbajnë nivele të kërkuara të aftësive, prandaj niveli i boshllëkut nuk mund të përcaktohet. Duhen shtuar rezultatet e të nxënit të lëndëve.
## Rruga e sugjeruar
1. Apliko për Masterin e Shkencave në Informatikë Ekonomike.
2. Ndjek lëndët e rekomanduara që përfshijnë SQL dhe Menaxhim në Big Data.
3. Merr pjesë në praktikë për të fituar përvojë praktike.
4. Fokusohu në zhvillimin e aftësive në Python për të plotësuar boshllëqet.
## Drejtimi i karrierës
- Ekonomistë, profili Menaxhim dhe Financë-Kontabilitet
- Personel IT, profili Programist Java
- Personel IT, profili Bazë të Dhënash
- Personel IT, profili Menaxhim Rrjetash (Master i Shkencave në Informatikë Ekonomike, f. 1).
## Burimet
- Burimi: Master i Shkencave në Informatikë Ekonomike, faqja 1, 2</t>
        </is>
      </c>
      <c r="H158" s="25" t="inlineStr">
        <is>
          <t>MSH-Informatike-Ekonomike-AL.pdf (f. 1, 2)</t>
        </is>
      </c>
      <c r="I158" s="25" t="n">
        <v>10.03</v>
      </c>
      <c r="J158" s="26" t="inlineStr">
        <is>
          <t>Pjesërisht e saktë</t>
        </is>
      </c>
      <c r="K158" s="26" t="inlineStr">
        <is>
          <t>po</t>
        </is>
      </c>
      <c r="L158" s="25" t="inlineStr">
        <is>
          <t>Struktura, lëndët (me vit, semestër dhe ECTS) dhe karriera nga dokumenti janë të sakta. Seksioni 'Boshllëqet' vendos nivele (i vogël/i mesëm/i madh) pa mbështetje, ndërkohë që thotë se niveli nuk përcaktohet.</t>
        </is>
      </c>
    </row>
    <row r="159" ht="505.2" customHeight="1" s="19">
      <c r="A159" s="25" t="n">
        <v>32</v>
      </c>
      <c r="B159" s="25" t="inlineStr">
        <is>
          <t>C</t>
        </is>
      </c>
      <c r="C159" s="25" t="inlineStr">
        <is>
          <t>po</t>
        </is>
      </c>
      <c r="D159" s="25" t="inlineStr">
        <is>
          <t>Më sugjero rrugën akademike më të përshtatshme sipas profilit tim.</t>
        </is>
      </c>
      <c r="E159" s="25" t="inlineStr">
        <is>
          <t>Përgjigje e strukturuar (rekomandimi, pse përshtatet, lëndët përkatëse, boshllëqet, rruga e sugjeruar, drejtimi i karrierës); faktet me burim; drejtimi i karrierës vetëm nga dokumentet</t>
        </is>
      </c>
      <c r="F159" s="25" t="n">
        <v>3</v>
      </c>
      <c r="G159" s="25" t="inlineStr">
        <is>
          <t>## Rekomandimi
Master i Shkencave në Informatikë Ekonomike
## Pse i përshtatet profilit tënd
- Programi ofron njohuri të thella në sistemet e informacionit, të cilat janë të rëndësishme për një Data Engineer (Master i Shkencave në Informatikë Ekonomike, f. 1).
- Lëndët si SQL server dhe platformat e raportimit janë të përshtatshme për aftësitë tuaja teknike në SQL (Master i Shkencave në Informatikë Ekonomike, f. 2).
- Programi përfshin praktika, që do t'ju ndihmojë të zhvilloni përvojë praktike në fushën e IT-së (Master i Shkencave në Informatikë Ekonomike, f. 2).
- Aftësitë kërkimore në fushën e ekonomisë dhe financës do t'ju ndihmojnë të zgjidhni probleme komplekse, duke u përshtatur me objektivin tuaj (Master i Shkencave në Informatikë Ekonomike, f. 1).
## Lëndët përkatëse
- SQL server dhe platformat e raportimit, II 2, 6 ECTS
- Inteligjenca artificiale, II 1, 6 ECTS
- Menaxhim në Big Data, II 2, 6 ECTS
- Praktikë / internship, I 1-2, 12 ECTS
- Punimi Diplomës, II 1-2, 16 ECTS
## Boshllëqet e aftësive
**Aftësia** — Aktuale: SQL, Python | E kërkuar: nuk specifikohet në dokumente | Mbulohet nga: SQL server dhe platformat e raportimit (Master i Shkencave në Informatikë Ekonomike, f. 2) | Boshllëku: i vogël
Dokumentet aktuale nuk përmbajnë nivele të kërkuara të aftësive, prandaj niveli i boshllëkut nuk mund të përcaktohet.
## Rruga e sugjeruar
1. Apliko për Masterin e Shkencave në Informatikë Ekonomike.
2. Ndjek lëndët e rekomanduara për të forcuar njohuritë në SQL dhe Big Data.
3. Merr pjesë në praktikë për të fituar përvojë praktike.
4. Fokusohu në punimin e diplomës për të thelluar njohuritë në fushën e të dhënave.
## Drejtimi i karrierës
- Ekonomistë, profili Menaxhim dhe Financë-Kontabilitet
- Personel IT, profili Programist Java
- Personel IT, profili Bazë të Dhënash
- Personel IT, profili Menaxhim Rrjetash (Master i Shkencave në Informatikë Ekonomike, f. 1).
## Burimet
- Burimi: Master i Shkencave në Informatikë Ekonomike, faqja 1, 2</t>
        </is>
      </c>
      <c r="H159" s="25" t="inlineStr">
        <is>
          <t>MSH-Informatike-Ekonomike-AL.pdf (f. 1, 2)</t>
        </is>
      </c>
      <c r="I159" s="25" t="n">
        <v>10</v>
      </c>
      <c r="J159" s="26" t="inlineStr">
        <is>
          <t>Pjesërisht e saktë</t>
        </is>
      </c>
      <c r="K159" s="26" t="inlineStr">
        <is>
          <t>po</t>
        </is>
      </c>
      <c r="L159" s="25" t="inlineStr">
        <is>
          <t>Struktura, lëndët (me vit, semestër dhe ECTS) dhe karriera nga dokumenti janë të sakta. Seksioni 'Boshllëqet' vendos nivele (i vogël/i mesëm/i madh) pa mbështetje, ndërkohë që thotë se niveli nuk përcaktohet.</t>
        </is>
      </c>
    </row>
    <row r="160" ht="538.8" customHeight="1" s="19">
      <c r="A160" s="25" t="n">
        <v>32</v>
      </c>
      <c r="B160" s="25" t="inlineStr">
        <is>
          <t>C</t>
        </is>
      </c>
      <c r="C160" s="25" t="inlineStr">
        <is>
          <t>po</t>
        </is>
      </c>
      <c r="D160" s="25" t="inlineStr">
        <is>
          <t>Më sugjero rrugën akademike më të përshtatshme sipas profilit tim.</t>
        </is>
      </c>
      <c r="E160" s="25" t="inlineStr">
        <is>
          <t>Përgjigje e strukturuar (rekomandimi, pse përshtatet, lëndët përkatëse, boshllëqet, rruga e sugjeruar, drejtimi i karrierës); faktet me burim; drejtimi i karrierës vetëm nga dokumentet</t>
        </is>
      </c>
      <c r="F160" s="25" t="n">
        <v>4</v>
      </c>
      <c r="G160" s="25" t="inlineStr">
        <is>
          <t>## Rekomandimi
Master i Shkencave në Informatikë Ekonomike
## Pse i përshtatet profilit tënd
- Programi ofron njohuri në sistemet e informacionit, të cilat janë të rëndësishme për një Data Engineer (Master i Shkencave në Informatikë Ekonomike, f. 1).
- Lëndët si SQL server dhe platformat e raportimit janë të përshtatshme për aftësitë tuaja teknike në SQL (Master i Shkencave në Informatikë Ekonomike, f. 2).
- Programi përfshin praktikë, e cila do t'ju ndihmojë të zhvilloni përvojë praktike në fushën e IT-së (Master i Shkencave në Informatikë Ekonomike, f. 2).
- Njohuritë në inteligjencën artificiale do t'ju ndihmojnë të zhvilloni aftësi të avancuara në analizën e të dhënave (Master i Shkencave në Informatikë Ekonomike, f. 2).
## Lëndët përkatëse
1. Sistemet e vendimarrjes në Excel - II 1, 6 ECTS
2. Inteligjenca artificiale - II 1, 6 ECTS
3. SQL server dhe platformat e raportimit - II 2, 6 ECTS
4. Menaxhim në Big Data - II 2, 6 ECTS
5. Praktikë / internship - I 1-2, 12 ECTS
6. Punimi Diplomës - II 1-2, 16 ECTS
## Boshllëqet e aftësive
**Aftësia** — Aktuale: SQL | E kërkuar: nuk specifikohet në dokumente | Mbulohet nga: SQL server dhe platformat e raportimit (Master i Shkencave në Informatikë Ekonomike, f. 2) | Boshllëku: i vogël  
**Aftësia** — Aktuale: Python | E kërkuar: nuk specifikohet në dokumente | Mbulohet nga: asnjë lëndë e gjetur | Boshllëku: i madh  
**Aftësia** — Aktuale: nuk është dhënë | E kërkuar: nuk specifikohet në dokumente | Mbulohet nga: asnjë lëndë e gjetur | Boshllëku: i madh  
Dokumentet aktuale nuk përmbajnë nivele të kërkuara të aftësive, prandaj niveli i boshllëkut nuk mund të përcaktohet.
## Rruga e sugjeruar
1. Regjistrohu në Masterin e Shkencave në Informatikë Ekonomike.
2. Ndjek lëndët e rekomanduara që lidhen me SQL dhe inteligjencën artificiale.
3. Merr pjesë në praktikën e ofruar për të fituar përvojë praktike.
4. Fokusohu në zhvillimin e aftësive në Python për të mbushur boshllëkun.
## Drejtimi i karrierës
- Ekonomistë, profili Menaxhim dhe Financë-Kontabilitet
- Personel IT, profili Programist Java
- Personel IT, profili Bazë të Dhënash
- Personel IT, profili Menaxhim Rrjetash (Master i Shkencave në Informatikë Ekonomike, f. 1).
## Burimet
- Burimi: Master i Shkencave në Informatikë Ekonomike, faqja 1, 2</t>
        </is>
      </c>
      <c r="H160" s="25" t="inlineStr">
        <is>
          <t>MSH-Informatike-Ekonomike-AL.pdf (f. 1, 2)</t>
        </is>
      </c>
      <c r="I160" s="25" t="n">
        <v>9.91</v>
      </c>
      <c r="J160" s="26" t="inlineStr">
        <is>
          <t>Pjesërisht e saktë</t>
        </is>
      </c>
      <c r="K160" s="26" t="inlineStr">
        <is>
          <t>po</t>
        </is>
      </c>
      <c r="L160" s="25" t="inlineStr">
        <is>
          <t>Struktura, lëndët (me vit, semestër dhe ECTS) dhe karriera nga dokumenti janë të sakta. Seksioni 'Boshllëqet' vendos nivele (i vogël/i mesëm/i madh) pa mbështetje, ndërkohë që thotë se niveli nuk përcaktohet.</t>
        </is>
      </c>
    </row>
    <row r="161" ht="550" customHeight="1" s="19">
      <c r="A161" s="25" t="n">
        <v>32</v>
      </c>
      <c r="B161" s="25" t="inlineStr">
        <is>
          <t>C</t>
        </is>
      </c>
      <c r="C161" s="25" t="inlineStr">
        <is>
          <t>po</t>
        </is>
      </c>
      <c r="D161" s="25" t="inlineStr">
        <is>
          <t>Më sugjero rrugën akademike më të përshtatshme sipas profilit tim.</t>
        </is>
      </c>
      <c r="E161" s="25" t="inlineStr">
        <is>
          <t>Përgjigje e strukturuar (rekomandimi, pse përshtatet, lëndët përkatëse, boshllëqet, rruga e sugjeruar, drejtimi i karrierës); faktet me burim; drejtimi i karrierës vetëm nga dokumentet</t>
        </is>
      </c>
      <c r="F161" s="25" t="n">
        <v>5</v>
      </c>
      <c r="G161" s="25" t="inlineStr">
        <is>
          <t>## Rekomandimi
Master i Shkencave në Informatikë Ekonomike
## Pse i përshtatet profilit tënd
- Programi ofron njohuri të thella në sistemet e informacionit, të cilat janë të rëndësishme për një Data Engineer (Master i Shkencave në Informatikë Ekonomike, f. 1).
- Lëndët si SQL server dhe platformat e raportimit, si dhe Menaxhimi në Big Data, janë të përshtatshme për aftësitë tuaja teknike në SQL (Master i Shkencave në Informatikë Ekonomike, f. 2).
- Programi gjithashtu përfshin aspekte të inteligjencës artificiale, që mund të jenë të dobishme për zhvillimin e aftësive tuaja në të dhëna (Master i Shkencave në Informatikë Ekonomike, f. 2).
- Mundësitë e punësimit përfshijnë pozita si Personel IT, profili Bazë të Dhënash, që është në përputhje me objektivin tuaj të karrierës (Master i Shkencave në Informatikë Ekonomike, f. 1).
## Lëndët përkatëse
1. SQL server dhe platformat e raportimit - II 2, 6 ECTS
2. Menaxhim në Big Data - II 2, 6 ECTS
3. Inteligjenca artificiale - II 1, 6 ECTS
4. Praktikë / internship - I 1-2, 12 ECTS
5. Punimi Diplomës - II 1-2, 16 ECTS
## Boshllëqet e aftësive
**Aftësia** — Aktuale: SQL | E kërkuar: nuk specifikohet në dokumente | Mbulohet nga: SQL server dhe platformat e raportimit (Master i Shkencave në Informatikë Ekonomike, f. 2) | Boshllëku: i vogël  
**Aftësia** — Aktuale: Python | E kërkuar: nuk specifikohet në dokumente | Mbulohet nga: asnjë lëndë e gjetur | Boshllëku: i mesëm  
**Aftësia** — Aktuale: nuk është dhënë | E kërkuar: nuk specifikohet në dokumente | Mbulohet nga: asnjë lëndë e gjetur | Boshllëku: i madh  
Dokumentet aktuale nuk përmbajnë nivele të kërkuara të aftësive, prandaj niveli i boshllëkut nuk mund të përcaktohet.
## Rruga e sugjeruar
1. Apliko për Masterin e Shkencave në Informatikë Ekonomike.
2. Fokusohu në lëndët që lidhen me SQL dhe Big Data.
3. Merr pjesë në praktikë për të fituar përvojë praktike.
4. Puno në projektin e diplomës për të thelluar njohuritë në fushën e të dhënave.
## Drejtimi i karrierës
- Ekonomistë, profili Menaxhim dhe Financë-Kontabilitet
- Personel IT, profili Bazë të Dhënash
- Personel IT, profili Menaxhim Rrjetash
## Burimet
- Burimi: Master i Shkencave në Informatikë Ekonomike, faqja 1, 2</t>
        </is>
      </c>
      <c r="H161" s="25" t="inlineStr">
        <is>
          <t>MSH-Informatike-Ekonomike-AL.pdf (f. 1, 2)</t>
        </is>
      </c>
      <c r="I161" s="25" t="n">
        <v>9.630000000000001</v>
      </c>
      <c r="J161" s="26" t="inlineStr">
        <is>
          <t>Pjesërisht e saktë</t>
        </is>
      </c>
      <c r="K161" s="26" t="inlineStr">
        <is>
          <t>po</t>
        </is>
      </c>
      <c r="L161" s="25" t="inlineStr">
        <is>
          <t>Struktura, lëndët (me vit, semestër dhe ECTS) dhe karriera nga dokumenti janë të sakta. Seksioni 'Boshllëqet' vendos nivele (i vogël/i mesëm/i madh) pa mbështetje, ndërkohë që thotë se niveli nuk përcaktohet.</t>
        </is>
      </c>
    </row>
    <row r="162" ht="23.85" customHeight="1" s="19">
      <c r="A162" s="23" t="n">
        <v>33</v>
      </c>
      <c r="B162" s="23" t="inlineStr">
        <is>
          <t>C</t>
        </is>
      </c>
      <c r="C162" s="23" t="inlineStr">
        <is>
          <t>po</t>
        </is>
      </c>
      <c r="D162" s="23" t="inlineStr">
        <is>
          <t>Po sa ECTS ka gjithsej ky program?</t>
        </is>
      </c>
      <c r="E162" s="23" t="inlineStr">
        <is>
          <t>60 ECTS (e kupton që 'ky program' është MP Informatikë e Aplikuar)</t>
        </is>
      </c>
      <c r="F162" s="23" t="n">
        <v>1</v>
      </c>
      <c r="G162" s="23" t="inlineStr">
        <is>
          <t>(Teksti i përgjigjes së ekzekutimit origjinal nuk është i disponueshëm – vlerësimi është marrë nga Shtojca A.)</t>
        </is>
      </c>
      <c r="H162" s="23" t="n"/>
      <c r="I162" s="23" t="n">
        <v>5.56</v>
      </c>
      <c r="J162" s="24" t="inlineStr">
        <is>
          <t>E pasaktë</t>
        </is>
      </c>
      <c r="K162" s="24" t="inlineStr">
        <is>
          <t>po</t>
        </is>
      </c>
      <c r="L162" s="23" t="n"/>
    </row>
    <row r="163" ht="158.2" customHeight="1" s="19">
      <c r="A163" s="25" t="n">
        <v>33</v>
      </c>
      <c r="B163" s="25" t="inlineStr">
        <is>
          <t>C</t>
        </is>
      </c>
      <c r="C163" s="25" t="inlineStr">
        <is>
          <t>po</t>
        </is>
      </c>
      <c r="D163" s="25" t="inlineStr">
        <is>
          <t>Po sa ECTS ka gjithsej ky program?</t>
        </is>
      </c>
      <c r="E163" s="25" t="inlineStr">
        <is>
          <t>60 ECTS (e kupton që 'ky program' është MP Informatikë e Aplikuar)</t>
        </is>
      </c>
      <c r="F163" s="25" t="n">
        <v>2</v>
      </c>
      <c r="G163" s="25" t="inlineStr">
        <is>
          <t>Programi: Master i Shkencave në Informatikë Ekonomike ka gjithsej 92 ECTS (Burimi: Master i Shkencave në Informatikë Ekonomike).
Programi: Master i Shkencave në Teknologji Informacioni ka gjithsej 72 ECTS (Burimi: Master i Shkencave në Teknologji Informacioni).
Programi: Master Profesional në Informatikë e Aplikuar ka gjithsej 42 ECTS (Burimi: Master Profesional në Informatikë e Aplikuar).
Programi: Master Profesional në Menaxhim Biznesi ka gjithsej 54 ECTS (Burimi: Master Profesional në Menaxhim Biznesi).
Programi: Master i Shkencave në Inxhinieri Informatike ka gjithsej 84 ECTS (Burimi: Master i Shkencave në Inxhinieri Informatike).</t>
        </is>
      </c>
      <c r="H163" s="25" t="inlineStr">
        <is>
          <t>MSH-Informatike-Ekonomike-AL.pdf (f. 2) | MSc_-Teknologji-Informacioni.pdf (f. 1) | MP-Informatike-e-Aplikuar.pdf (f. 1) | MP-Menaxhim-Biznesi-AL.pdf (f. 3) | Msc_-Inxhinieri-Informatike.pdf (f. 1)</t>
        </is>
      </c>
      <c r="I163" s="25" t="n">
        <v>4.83</v>
      </c>
      <c r="J163" s="26" t="inlineStr">
        <is>
          <t>E pasaktë</t>
        </is>
      </c>
      <c r="K163" s="26" t="inlineStr">
        <is>
          <t>po</t>
        </is>
      </c>
      <c r="L163" s="25" t="inlineStr">
        <is>
          <t>Nuk e kupton 'ky program' (MP Informatikë e Aplikuar, 60 ECTS) dhe liston 5 programe me totale të shpikura (92, 72, 42, 54, 84 ECTS); asnjë nuk përputhet me dokumentet (të gjitha janë 120 ose 60 ECTS).</t>
        </is>
      </c>
    </row>
    <row r="164" ht="158.2" customHeight="1" s="19">
      <c r="A164" s="27" t="n">
        <v>33</v>
      </c>
      <c r="B164" s="27" t="inlineStr">
        <is>
          <t>C</t>
        </is>
      </c>
      <c r="C164" s="27" t="inlineStr">
        <is>
          <t>po</t>
        </is>
      </c>
      <c r="D164" s="27" t="inlineStr">
        <is>
          <t>Po sa ECTS ka gjithsej ky program?</t>
        </is>
      </c>
      <c r="E164" s="27" t="inlineStr">
        <is>
          <t>60 ECTS (e kupton që 'ky program' është MP Informatikë e Aplikuar)</t>
        </is>
      </c>
      <c r="F164" s="27" t="n">
        <v>3</v>
      </c>
      <c r="G164" s="27" t="inlineStr">
        <is>
          <t>Programi: Master i Shkencave në Informatikë Ekonomike ka gjithsej 92 ECTS (Burimi: Master i Shkencave në Informatikë Ekonomike).
Programi: Master i Shkencave në Teknologji Informacioni ka gjithsej 72 ECTS (Burimi: Master i Shkencave në Teknologji Informacioni).
Programi: Master Profesional në Informatikë e Aplikuar ka gjithsej 42 ECTS (Burimi: Master Profesional në Informatikë e Aplikuar).
Programi: Master Profesional në Menaxhim Biznesi ka gjithsej 54 ECTS (Burimi: Master Profesional në Menaxhim Biznesi).
Programi: Master i Shkencave në Inxhinieri Informatike ka gjithsej 84 ECTS (Burimi: Master i Shkencave në Inxhinieri Informatike).</t>
        </is>
      </c>
      <c r="H164" s="27" t="inlineStr">
        <is>
          <t>MSH-Informatike-Ekonomike-AL.pdf (f. 2) | MSc_-Teknologji-Informacioni.pdf (f. 1) | MP-Informatike-e-Aplikuar.pdf (f. 1) | MP-Menaxhim-Biznesi-AL.pdf (f. 3) | Msc_-Inxhinieri-Informatike.pdf (f. 1)</t>
        </is>
      </c>
      <c r="I164" s="27" t="n">
        <v>5.17</v>
      </c>
      <c r="J164" s="27">
        <f>J163</f>
        <v/>
      </c>
      <c r="K164" s="27">
        <f>K163</f>
        <v/>
      </c>
      <c r="L164" s="27" t="inlineStr">
        <is>
          <t>Pothuajse identike me ekzekutimin 2</t>
        </is>
      </c>
    </row>
    <row r="165" ht="158.2" customHeight="1" s="19">
      <c r="A165" s="27" t="n">
        <v>33</v>
      </c>
      <c r="B165" s="27" t="inlineStr">
        <is>
          <t>C</t>
        </is>
      </c>
      <c r="C165" s="27" t="inlineStr">
        <is>
          <t>po</t>
        </is>
      </c>
      <c r="D165" s="27" t="inlineStr">
        <is>
          <t>Po sa ECTS ka gjithsej ky program?</t>
        </is>
      </c>
      <c r="E165" s="27" t="inlineStr">
        <is>
          <t>60 ECTS (e kupton që 'ky program' është MP Informatikë e Aplikuar)</t>
        </is>
      </c>
      <c r="F165" s="27" t="n">
        <v>4</v>
      </c>
      <c r="G165" s="27" t="inlineStr">
        <is>
          <t>Programi: Master i Shkencave në Informatikë Ekonomike ka gjithsej 92 ECTS (Burimi: Master i Shkencave në Informatikë Ekonomike).
Programi: Master i Shkencave në Teknologji Informacioni ka gjithsej 72 ECTS (Burimi: Master i Shkencave në Teknologji Informacioni).
Programi: Master Profesional në Informatikë e Aplikuar ka gjithsej 42 ECTS (Burimi: Master Profesional në Informatikë e Aplikuar).
Programi: Master Profesional në Menaxhim Biznesi ka gjithsej 54 ECTS (Burimi: Master Profesional në Menaxhim Biznesi).
Programi: Master i Shkencave në Inxhinieri Informatike ka gjithsej 84 ECTS (Burimi: Master i Shkencave në Inxhinieri Informatike).</t>
        </is>
      </c>
      <c r="H165" s="27" t="inlineStr">
        <is>
          <t>MSH-Informatike-Ekonomike-AL.pdf (f. 2) | MSc_-Teknologji-Informacioni.pdf (f. 1) | MP-Informatike-e-Aplikuar.pdf (f. 1) | MP-Menaxhim-Biznesi-AL.pdf (f. 3) | Msc_-Inxhinieri-Informatike.pdf (f. 1)</t>
        </is>
      </c>
      <c r="I165" s="27" t="n">
        <v>4.71</v>
      </c>
      <c r="J165" s="27">
        <f>J163</f>
        <v/>
      </c>
      <c r="K165" s="27">
        <f>K163</f>
        <v/>
      </c>
      <c r="L165" s="27" t="inlineStr">
        <is>
          <t>Pothuajse identike me ekzekutimin 2</t>
        </is>
      </c>
    </row>
    <row r="166" ht="158.2" customHeight="1" s="19">
      <c r="A166" s="27" t="n">
        <v>33</v>
      </c>
      <c r="B166" s="27" t="inlineStr">
        <is>
          <t>C</t>
        </is>
      </c>
      <c r="C166" s="27" t="inlineStr">
        <is>
          <t>po</t>
        </is>
      </c>
      <c r="D166" s="27" t="inlineStr">
        <is>
          <t>Po sa ECTS ka gjithsej ky program?</t>
        </is>
      </c>
      <c r="E166" s="27" t="inlineStr">
        <is>
          <t>60 ECTS (e kupton që 'ky program' është MP Informatikë e Aplikuar)</t>
        </is>
      </c>
      <c r="F166" s="27" t="n">
        <v>5</v>
      </c>
      <c r="G166" s="27" t="inlineStr">
        <is>
          <t>Programi: Master i Shkencave në Informatikë Ekonomike ka gjithsej 92 ECTS (Burimi: Master i Shkencave në Informatikë Ekonomike).
Programi: Master i Shkencave në Teknologji Informacioni ka gjithsej 72 ECTS (Burimi: Master i Shkencave në Teknologji Informacioni).
Programi: Master Profesional në Informatikë e Aplikuar ka gjithsej 42 ECTS (Burimi: Master Profesional në Informatikë e Aplikuar).
Programi: Master Profesional në Menaxhim Biznesi ka gjithsej 54 ECTS (Burimi: Master Profesional në Menaxhim Biznesi).
Programi: Master i Shkencave në Inxhinieri Informatike ka gjithsej 84 ECTS (Burimi: Master i Shkencave në Inxhinieri Informatike).</t>
        </is>
      </c>
      <c r="H166" s="27" t="inlineStr">
        <is>
          <t>MSH-Informatike-Ekonomike-AL.pdf (f. 2) | MSc_-Teknologji-Informacioni.pdf (f. 1) | MP-Informatike-e-Aplikuar.pdf (f. 1) | MP-Menaxhim-Biznesi-AL.pdf (f. 3) | Msc_-Inxhinieri-Informatike.pdf (f. 1)</t>
        </is>
      </c>
      <c r="I166" s="27" t="n">
        <v>6.05</v>
      </c>
      <c r="J166" s="27">
        <f>J163</f>
        <v/>
      </c>
      <c r="K166" s="27">
        <f>K163</f>
        <v/>
      </c>
      <c r="L166" s="27" t="inlineStr">
        <is>
          <t>Pothuajse identike me ekzekutimin 2</t>
        </is>
      </c>
    </row>
    <row r="167" ht="35.05" customHeight="1" s="19">
      <c r="A167" s="23" t="n">
        <v>34</v>
      </c>
      <c r="B167" s="23" t="inlineStr">
        <is>
          <t>C</t>
        </is>
      </c>
      <c r="C167" s="23" t="inlineStr">
        <is>
          <t>po</t>
        </is>
      </c>
      <c r="D167" s="23" t="inlineStr">
        <is>
          <t>Përshëndetje!</t>
        </is>
      </c>
      <c r="E167" s="23" t="inlineStr">
        <is>
          <t>Përshëndetje e shkurtër dhe miqësore; orienton drejt pyetjeve që mund të trajtojë; pa burime</t>
        </is>
      </c>
      <c r="F167" s="23" t="n">
        <v>1</v>
      </c>
      <c r="G167" s="23" t="inlineStr">
        <is>
          <t>(Teksti i përgjigjes së ekzekutimit origjinal nuk është i disponueshëm – vlerësimi është marrë nga Shtojca A.)</t>
        </is>
      </c>
      <c r="H167" s="23" t="n"/>
      <c r="I167" s="23" t="n">
        <v>1.16</v>
      </c>
      <c r="J167" s="24" t="inlineStr">
        <is>
          <t>E saktë</t>
        </is>
      </c>
      <c r="K167" s="24" t="inlineStr">
        <is>
          <t>jo</t>
        </is>
      </c>
      <c r="L167" s="23" t="n"/>
    </row>
    <row r="168" ht="35.05" customHeight="1" s="19">
      <c r="A168" s="25" t="n">
        <v>34</v>
      </c>
      <c r="B168" s="25" t="inlineStr">
        <is>
          <t>C</t>
        </is>
      </c>
      <c r="C168" s="25" t="inlineStr">
        <is>
          <t>po</t>
        </is>
      </c>
      <c r="D168" s="25" t="inlineStr">
        <is>
          <t>Përshëndetje!</t>
        </is>
      </c>
      <c r="E168" s="25" t="inlineStr">
        <is>
          <t>Përshëndetje e shkurtër dhe miqësore; orienton drejt pyetjeve që mund të trajtojë; pa burime</t>
        </is>
      </c>
      <c r="F168" s="25" t="n">
        <v>2</v>
      </c>
      <c r="G168" s="25" t="inlineStr">
        <is>
          <t>Përshëndetje! Si mund t'ju ndihmoj me pyetje rreth programeve të studimit të UET-së, si profilet, lëndët, kreditet ECTS dhe mundësitë e punësimit?</t>
        </is>
      </c>
      <c r="H168" s="25" t="n"/>
      <c r="I168" s="25" t="n">
        <v>1.24</v>
      </c>
      <c r="J168" s="26" t="inlineStr">
        <is>
          <t>E saktë</t>
        </is>
      </c>
      <c r="K168" s="26" t="inlineStr">
        <is>
          <t>jo</t>
        </is>
      </c>
      <c r="L168" s="25" t="n"/>
    </row>
    <row r="169" ht="35.05" customHeight="1" s="19">
      <c r="A169" s="27" t="n">
        <v>34</v>
      </c>
      <c r="B169" s="27" t="inlineStr">
        <is>
          <t>C</t>
        </is>
      </c>
      <c r="C169" s="27" t="inlineStr">
        <is>
          <t>po</t>
        </is>
      </c>
      <c r="D169" s="27" t="inlineStr">
        <is>
          <t>Përshëndetje!</t>
        </is>
      </c>
      <c r="E169" s="27" t="inlineStr">
        <is>
          <t>Përshëndetje e shkurtër dhe miqësore; orienton drejt pyetjeve që mund të trajtojë; pa burime</t>
        </is>
      </c>
      <c r="F169" s="27" t="n">
        <v>3</v>
      </c>
      <c r="G169" s="27" t="inlineStr">
        <is>
          <t>Përshëndetje! Si mund t'ju ndihmoj me pyetje rreth programeve të studimit të UET-së, si profilet, lëndët, kreditet ECTS dhe mundësitë e punësimit?</t>
        </is>
      </c>
      <c r="H169" s="27" t="n"/>
      <c r="I169" s="27" t="n">
        <v>1.27</v>
      </c>
      <c r="J169" s="27">
        <f>J168</f>
        <v/>
      </c>
      <c r="K169" s="27">
        <f>K168</f>
        <v/>
      </c>
      <c r="L169" s="27" t="inlineStr">
        <is>
          <t>Pothuajse identike me ekzekutimin 2</t>
        </is>
      </c>
    </row>
    <row r="170" ht="35.05" customHeight="1" s="19">
      <c r="A170" s="27" t="n">
        <v>34</v>
      </c>
      <c r="B170" s="27" t="inlineStr">
        <is>
          <t>C</t>
        </is>
      </c>
      <c r="C170" s="27" t="inlineStr">
        <is>
          <t>po</t>
        </is>
      </c>
      <c r="D170" s="27" t="inlineStr">
        <is>
          <t>Përshëndetje!</t>
        </is>
      </c>
      <c r="E170" s="27" t="inlineStr">
        <is>
          <t>Përshëndetje e shkurtër dhe miqësore; orienton drejt pyetjeve që mund të trajtojë; pa burime</t>
        </is>
      </c>
      <c r="F170" s="27" t="n">
        <v>4</v>
      </c>
      <c r="G170" s="27" t="inlineStr">
        <is>
          <t>Përshëndetje! Si mund t'ju ndihmoj me pyetje rreth programeve të studimit të UET-së, si profilet, lëndët, kreditet ECTS dhe mundësitë e punësimit?</t>
        </is>
      </c>
      <c r="H170" s="27" t="n"/>
      <c r="I170" s="27" t="n">
        <v>1.01</v>
      </c>
      <c r="J170" s="27">
        <f>J168</f>
        <v/>
      </c>
      <c r="K170" s="27">
        <f>K168</f>
        <v/>
      </c>
      <c r="L170" s="27" t="inlineStr">
        <is>
          <t>Pothuajse identike me ekzekutimin 2</t>
        </is>
      </c>
    </row>
    <row r="171" ht="35.05" customHeight="1" s="19">
      <c r="A171" s="27" t="n">
        <v>34</v>
      </c>
      <c r="B171" s="27" t="inlineStr">
        <is>
          <t>C</t>
        </is>
      </c>
      <c r="C171" s="27" t="inlineStr">
        <is>
          <t>po</t>
        </is>
      </c>
      <c r="D171" s="27" t="inlineStr">
        <is>
          <t>Përshëndetje!</t>
        </is>
      </c>
      <c r="E171" s="27" t="inlineStr">
        <is>
          <t>Përshëndetje e shkurtër dhe miqësore; orienton drejt pyetjeve që mund të trajtojë; pa burime</t>
        </is>
      </c>
      <c r="F171" s="27" t="n">
        <v>5</v>
      </c>
      <c r="G171" s="27" t="inlineStr">
        <is>
          <t>Përshëndetje! Si mund t'ju ndihmoj me pyetje rreth programeve të studimit të UET-së, si profilet, lëndët, kreditet ECTS dhe mundësitë e punësimit?</t>
        </is>
      </c>
      <c r="H171" s="27" t="n"/>
      <c r="I171" s="27" t="n">
        <v>1.01</v>
      </c>
      <c r="J171" s="27">
        <f>J168</f>
        <v/>
      </c>
      <c r="K171" s="27">
        <f>K168</f>
        <v/>
      </c>
      <c r="L171" s="27" t="inlineStr">
        <is>
          <t>Pothuajse identike me ekzekutimin 2</t>
        </is>
      </c>
    </row>
    <row r="172" ht="46.25" customHeight="1" s="19">
      <c r="A172" s="23" t="n">
        <v>35</v>
      </c>
      <c r="B172" s="23" t="inlineStr">
        <is>
          <t>B</t>
        </is>
      </c>
      <c r="C172" s="23" t="inlineStr">
        <is>
          <t>jo</t>
        </is>
      </c>
      <c r="D172" s="23" t="inlineStr">
        <is>
          <t>A mund të pranohem në Master të Shkencave në Teknologji Informacioni me Bachelor në Administrim Biznesi?</t>
        </is>
      </c>
      <c r="E172" s="23" t="inlineStr">
        <is>
          <t>Kriteret e pranimit nuk gjenden në dokumente; e thotë hapur dhe orienton te administrata; nuk shpik kritere</t>
        </is>
      </c>
      <c r="F172" s="23" t="n">
        <v>1</v>
      </c>
      <c r="G172" s="23" t="inlineStr">
        <is>
          <t>(Teksti i përgjigjes së ekzekutimit origjinal nuk është i disponueshëm – vlerësimi është marrë nga Shtojca A.)</t>
        </is>
      </c>
      <c r="H172" s="23" t="n"/>
      <c r="I172" s="23" t="n">
        <v>3.54</v>
      </c>
      <c r="J172" s="24" t="inlineStr">
        <is>
          <t>E saktë</t>
        </is>
      </c>
      <c r="K172" s="24" t="inlineStr">
        <is>
          <t>jo</t>
        </is>
      </c>
      <c r="L172" s="23" t="n"/>
    </row>
    <row r="173" ht="46.25" customHeight="1" s="19">
      <c r="A173" s="25" t="n">
        <v>35</v>
      </c>
      <c r="B173" s="25" t="inlineStr">
        <is>
          <t>B</t>
        </is>
      </c>
      <c r="C173" s="25" t="inlineStr">
        <is>
          <t>jo</t>
        </is>
      </c>
      <c r="D173" s="25" t="inlineStr">
        <is>
          <t>A mund të pranohem në Master të Shkencave në Teknologji Informacioni me Bachelor në Administrim Biznesi?</t>
        </is>
      </c>
      <c r="E173" s="25" t="inlineStr">
        <is>
          <t>Kriteret e pranimit nuk gjenden në dokumente; e thotë hapur dhe orienton te administrata; nuk shpik kritere</t>
        </is>
      </c>
      <c r="F173" s="25" t="n">
        <v>2</v>
      </c>
      <c r="G173" s="25" t="inlineStr">
        <is>
          <t>Nuk e gjej këtë informacion në dokumentet e disponueshme. Të këshilloj të kontaktosh administratën e UET-së për detaje mbi pranimin në programin e Masterit të Shkencave në Teknologji Informacioni me Bachelor në Administrim Biznesi.</t>
        </is>
      </c>
      <c r="H173" s="25" t="inlineStr">
        <is>
          <t>MSH-Administrim-Biznesi-AL.pdf (f. 4, 1, 2)</t>
        </is>
      </c>
      <c r="I173" s="25" t="n">
        <v>3.91</v>
      </c>
      <c r="J173" s="26" t="inlineStr">
        <is>
          <t>E saktë</t>
        </is>
      </c>
      <c r="K173" s="26" t="inlineStr">
        <is>
          <t>jo</t>
        </is>
      </c>
      <c r="L173" s="25" t="n"/>
    </row>
    <row r="174" ht="46.25" customHeight="1" s="19">
      <c r="A174" s="25" t="n">
        <v>35</v>
      </c>
      <c r="B174" s="25" t="inlineStr">
        <is>
          <t>B</t>
        </is>
      </c>
      <c r="C174" s="25" t="inlineStr">
        <is>
          <t>jo</t>
        </is>
      </c>
      <c r="D174" s="25" t="inlineStr">
        <is>
          <t>A mund të pranohem në Master të Shkencave në Teknologji Informacioni me Bachelor në Administrim Biznesi?</t>
        </is>
      </c>
      <c r="E174" s="25" t="inlineStr">
        <is>
          <t>Kriteret e pranimit nuk gjenden në dokumente; e thotë hapur dhe orienton te administrata; nuk shpik kritere</t>
        </is>
      </c>
      <c r="F174" s="25" t="n">
        <v>3</v>
      </c>
      <c r="G174" s="25" t="inlineStr">
        <is>
          <t>Nuk e gjej këtë informacion në dokumentet e disponueshme. Të këshilloj të kontaktosh administratën e UET-së për detaje mbi pranimin në programin e Masterit të Shkencave në Teknologji Informacioni me Bachelor në Administrim Biznesi.</t>
        </is>
      </c>
      <c r="H174" s="25" t="inlineStr">
        <is>
          <t>MSH-Administrim-Biznesi-AL.pdf (f. 4, 1, 2)</t>
        </is>
      </c>
      <c r="I174" s="25" t="n">
        <v>4.15</v>
      </c>
      <c r="J174" s="26" t="inlineStr">
        <is>
          <t>E saktë</t>
        </is>
      </c>
      <c r="K174" s="26" t="inlineStr">
        <is>
          <t>jo</t>
        </is>
      </c>
      <c r="L174" s="25" t="n"/>
    </row>
    <row r="175" ht="46.25" customHeight="1" s="19">
      <c r="A175" s="25" t="n">
        <v>35</v>
      </c>
      <c r="B175" s="25" t="inlineStr">
        <is>
          <t>B</t>
        </is>
      </c>
      <c r="C175" s="25" t="inlineStr">
        <is>
          <t>jo</t>
        </is>
      </c>
      <c r="D175" s="25" t="inlineStr">
        <is>
          <t>A mund të pranohem në Master të Shkencave në Teknologji Informacioni me Bachelor në Administrim Biznesi?</t>
        </is>
      </c>
      <c r="E175" s="25" t="inlineStr">
        <is>
          <t>Kriteret e pranimit nuk gjenden në dokumente; e thotë hapur dhe orienton te administrata; nuk shpik kritere</t>
        </is>
      </c>
      <c r="F175" s="25" t="n">
        <v>4</v>
      </c>
      <c r="G175" s="25" t="inlineStr">
        <is>
          <t>Nuk e gjej këtë informacion në dokumentet e disponueshme. Të këshilloj të kontaktojë administratën e UET-së për detaje mbi pranimin në programin e Masterit të Shkencave në Teknologji Informacioni.</t>
        </is>
      </c>
      <c r="H175" s="25" t="inlineStr">
        <is>
          <t>MSH-Administrim-Biznesi-AL.pdf (f. 4, 1, 2)</t>
        </is>
      </c>
      <c r="I175" s="25" t="n">
        <v>5.23</v>
      </c>
      <c r="J175" s="26" t="inlineStr">
        <is>
          <t>E saktë</t>
        </is>
      </c>
      <c r="K175" s="26" t="inlineStr">
        <is>
          <t>jo</t>
        </is>
      </c>
      <c r="L175" s="25" t="n"/>
    </row>
    <row r="176" ht="46.25" customHeight="1" s="19">
      <c r="A176" s="25" t="n">
        <v>35</v>
      </c>
      <c r="B176" s="25" t="inlineStr">
        <is>
          <t>B</t>
        </is>
      </c>
      <c r="C176" s="25" t="inlineStr">
        <is>
          <t>jo</t>
        </is>
      </c>
      <c r="D176" s="25" t="inlineStr">
        <is>
          <t>A mund të pranohem në Master të Shkencave në Teknologji Informacioni me Bachelor në Administrim Biznesi?</t>
        </is>
      </c>
      <c r="E176" s="25" t="inlineStr">
        <is>
          <t>Kriteret e pranimit nuk gjenden në dokumente; e thotë hapur dhe orienton te administrata; nuk shpik kritere</t>
        </is>
      </c>
      <c r="F176" s="25" t="n">
        <v>5</v>
      </c>
      <c r="G176" s="25" t="inlineStr">
        <is>
          <t>Nuk e gjej këtë informacion në dokumentet e disponueshme. Të këshilloj të kontaktojë administratën e UET-së për detaje mbi pranimin në programet e studimit.</t>
        </is>
      </c>
      <c r="H176" s="25" t="inlineStr">
        <is>
          <t>MSH-Administrim-Biznesi-AL.pdf (f. 4, 1, 2)</t>
        </is>
      </c>
      <c r="I176" s="25" t="n">
        <v>3.38</v>
      </c>
      <c r="J176" s="26" t="inlineStr">
        <is>
          <t>E saktë</t>
        </is>
      </c>
      <c r="K176" s="26" t="inlineStr">
        <is>
          <t>jo</t>
        </is>
      </c>
      <c r="L176" s="25" t="n"/>
    </row>
    <row r="177" ht="23.85" customHeight="1" s="19">
      <c r="A177" s="23" t="n">
        <v>36</v>
      </c>
      <c r="B177" s="23" t="inlineStr">
        <is>
          <t>B</t>
        </is>
      </c>
      <c r="C177" s="23" t="inlineStr">
        <is>
          <t>jo</t>
        </is>
      </c>
      <c r="D177" s="23" t="inlineStr">
        <is>
          <t>Sa ECTS ka lënda Blockchain në Master Teknologji Informacioni?</t>
        </is>
      </c>
      <c r="E177" s="23" t="inlineStr">
        <is>
          <t>Lënda nuk gjendet në planin mësimor; nuk shpik ECTS</t>
        </is>
      </c>
      <c r="F177" s="23" t="n">
        <v>1</v>
      </c>
      <c r="G177" s="23" t="inlineStr">
        <is>
          <t>(Teksti i përgjigjes së ekzekutimit origjinal nuk është i disponueshëm – vlerësimi është marrë nga Shtojca A.)</t>
        </is>
      </c>
      <c r="H177" s="23" t="n"/>
      <c r="I177" s="23" t="n">
        <v>1.33</v>
      </c>
      <c r="J177" s="24" t="inlineStr">
        <is>
          <t>E saktë</t>
        </is>
      </c>
      <c r="K177" s="24" t="inlineStr">
        <is>
          <t>jo</t>
        </is>
      </c>
      <c r="L177" s="23" t="n"/>
    </row>
    <row r="178" ht="68.65000000000001" customHeight="1" s="19">
      <c r="A178" s="25" t="n">
        <v>36</v>
      </c>
      <c r="B178" s="25" t="inlineStr">
        <is>
          <t>B</t>
        </is>
      </c>
      <c r="C178" s="25" t="inlineStr">
        <is>
          <t>jo</t>
        </is>
      </c>
      <c r="D178" s="25" t="inlineStr">
        <is>
          <t>Sa ECTS ka lënda Blockchain në Master Teknologji Informacioni?</t>
        </is>
      </c>
      <c r="E178" s="25" t="inlineStr">
        <is>
          <t>Lënda nuk gjendet në planin mësimor; nuk shpik ECTS</t>
        </is>
      </c>
      <c r="F178" s="25" t="n">
        <v>2</v>
      </c>
      <c r="G178" s="25" t="inlineStr">
        <is>
          <t>Nuk e gjej këtë informacion në dokumentet e disponueshme. Të lutem kontakto administratën e UET-së për detaje të tjera.</t>
        </is>
      </c>
      <c r="H178" s="25" t="inlineStr">
        <is>
          <t>MSc_-Teknologji-Informacioni.pdf (f. 1) | MSH-Informatike-Ekonomike-AL.pdf (f. 2) | MP-Teknologji-Informacioni-e-Aplikuar-ne-Finance.pdf (f. 1)</t>
        </is>
      </c>
      <c r="I178" s="25" t="n">
        <v>1.6</v>
      </c>
      <c r="J178" s="26" t="inlineStr">
        <is>
          <t>E saktë</t>
        </is>
      </c>
      <c r="K178" s="26" t="inlineStr">
        <is>
          <t>jo</t>
        </is>
      </c>
      <c r="L178" s="25" t="n"/>
    </row>
    <row r="179" ht="68.65000000000001" customHeight="1" s="19">
      <c r="A179" s="27" t="n">
        <v>36</v>
      </c>
      <c r="B179" s="27" t="inlineStr">
        <is>
          <t>B</t>
        </is>
      </c>
      <c r="C179" s="27" t="inlineStr">
        <is>
          <t>jo</t>
        </is>
      </c>
      <c r="D179" s="27" t="inlineStr">
        <is>
          <t>Sa ECTS ka lënda Blockchain në Master Teknologji Informacioni?</t>
        </is>
      </c>
      <c r="E179" s="27" t="inlineStr">
        <is>
          <t>Lënda nuk gjendet në planin mësimor; nuk shpik ECTS</t>
        </is>
      </c>
      <c r="F179" s="27" t="n">
        <v>3</v>
      </c>
      <c r="G179" s="27" t="inlineStr">
        <is>
          <t>Nuk e gjej këtë informacion në dokumentet e disponueshme. Të lutem, kontakto administratën e UET-së për më shumë detaje.</t>
        </is>
      </c>
      <c r="H179" s="27" t="inlineStr">
        <is>
          <t>MSc_-Teknologji-Informacioni.pdf (f. 1) | MSH-Informatike-Ekonomike-AL.pdf (f. 2) | MP-Teknologji-Informacioni-e-Aplikuar-ne-Finance.pdf (f. 1)</t>
        </is>
      </c>
      <c r="I179" s="27" t="n">
        <v>1.2</v>
      </c>
      <c r="J179" s="27">
        <f>J178</f>
        <v/>
      </c>
      <c r="K179" s="27">
        <f>K178</f>
        <v/>
      </c>
      <c r="L179" s="27" t="inlineStr">
        <is>
          <t>Pothuajse identike me ekzekutimin 2</t>
        </is>
      </c>
    </row>
    <row r="180" ht="68.65000000000001" customHeight="1" s="19">
      <c r="A180" s="27" t="n">
        <v>36</v>
      </c>
      <c r="B180" s="27" t="inlineStr">
        <is>
          <t>B</t>
        </is>
      </c>
      <c r="C180" s="27" t="inlineStr">
        <is>
          <t>jo</t>
        </is>
      </c>
      <c r="D180" s="27" t="inlineStr">
        <is>
          <t>Sa ECTS ka lënda Blockchain në Master Teknologji Informacioni?</t>
        </is>
      </c>
      <c r="E180" s="27" t="inlineStr">
        <is>
          <t>Lënda nuk gjendet në planin mësimor; nuk shpik ECTS</t>
        </is>
      </c>
      <c r="F180" s="27" t="n">
        <v>4</v>
      </c>
      <c r="G180" s="27" t="inlineStr">
        <is>
          <t>Nuk e gjej këtë informacion në dokumentet e disponueshme. Të lutem kontakto administratën e UET-së për detaje të tjera.</t>
        </is>
      </c>
      <c r="H180" s="27" t="inlineStr">
        <is>
          <t>MSc_-Teknologji-Informacioni.pdf (f. 1) | MSH-Informatike-Ekonomike-AL.pdf (f. 2) | MP-Teknologji-Informacioni-e-Aplikuar-ne-Finance.pdf (f. 1)</t>
        </is>
      </c>
      <c r="I180" s="27" t="n">
        <v>1.47</v>
      </c>
      <c r="J180" s="27">
        <f>J178</f>
        <v/>
      </c>
      <c r="K180" s="27">
        <f>K178</f>
        <v/>
      </c>
      <c r="L180" s="27" t="inlineStr">
        <is>
          <t>Pothuajse identike me ekzekutimin 2</t>
        </is>
      </c>
    </row>
    <row r="181" ht="68.65000000000001" customHeight="1" s="19">
      <c r="A181" s="27" t="n">
        <v>36</v>
      </c>
      <c r="B181" s="27" t="inlineStr">
        <is>
          <t>B</t>
        </is>
      </c>
      <c r="C181" s="27" t="inlineStr">
        <is>
          <t>jo</t>
        </is>
      </c>
      <c r="D181" s="27" t="inlineStr">
        <is>
          <t>Sa ECTS ka lënda Blockchain në Master Teknologji Informacioni?</t>
        </is>
      </c>
      <c r="E181" s="27" t="inlineStr">
        <is>
          <t>Lënda nuk gjendet në planin mësimor; nuk shpik ECTS</t>
        </is>
      </c>
      <c r="F181" s="27" t="n">
        <v>5</v>
      </c>
      <c r="G181" s="27" t="inlineStr">
        <is>
          <t>Nuk e gjej këtë informacion në dokumentet e disponueshme. Të lutem kontakto administratën e UET-së për detaje të tjera.</t>
        </is>
      </c>
      <c r="H181" s="27" t="inlineStr">
        <is>
          <t>MSc_-Teknologji-Informacioni.pdf (f. 1) | MSH-Informatike-Ekonomike-AL.pdf (f. 2) | MP-Teknologji-Informacioni-e-Aplikuar-ne-Finance.pdf (f. 1)</t>
        </is>
      </c>
      <c r="I181" s="27" t="n">
        <v>1.14</v>
      </c>
      <c r="J181" s="27">
        <f>J178</f>
        <v/>
      </c>
      <c r="K181" s="27">
        <f>K178</f>
        <v/>
      </c>
      <c r="L181" s="27" t="inlineStr">
        <is>
          <t>Pothuajse identike me ekzekutimin 2</t>
        </is>
      </c>
    </row>
    <row r="182" ht="23.85" customHeight="1" s="19">
      <c r="A182" s="23" t="n">
        <v>37</v>
      </c>
      <c r="B182" s="23" t="inlineStr">
        <is>
          <t>B</t>
        </is>
      </c>
      <c r="C182" s="23" t="inlineStr">
        <is>
          <t>jo</t>
        </is>
      </c>
      <c r="D182" s="23" t="inlineStr">
        <is>
          <t>Cilat janë profilet e Master Shkencor në Arkitekturë?</t>
        </is>
      </c>
      <c r="E182" s="23" t="inlineStr">
        <is>
          <t>Nuk ka dokument për këtë program; nuk shpik profile</t>
        </is>
      </c>
      <c r="F182" s="23" t="n">
        <v>1</v>
      </c>
      <c r="G182" s="23" t="inlineStr">
        <is>
          <t>(Teksti i përgjigjes së ekzekutimit origjinal nuk është i disponueshëm – vlerësimi është marrë nga Shtojca A.)</t>
        </is>
      </c>
      <c r="H182" s="23" t="n"/>
      <c r="I182" s="23" t="n">
        <v>1.13</v>
      </c>
      <c r="J182" s="24" t="inlineStr">
        <is>
          <t>E saktë</t>
        </is>
      </c>
      <c r="K182" s="24" t="inlineStr">
        <is>
          <t>jo</t>
        </is>
      </c>
      <c r="L182" s="23" t="n"/>
    </row>
    <row r="183" ht="68.65000000000001" customHeight="1" s="19">
      <c r="A183" s="25" t="n">
        <v>37</v>
      </c>
      <c r="B183" s="25" t="inlineStr">
        <is>
          <t>B</t>
        </is>
      </c>
      <c r="C183" s="25" t="inlineStr">
        <is>
          <t>jo</t>
        </is>
      </c>
      <c r="D183" s="25" t="inlineStr">
        <is>
          <t>Cilat janë profilet e Master Shkencor në Arkitekturë?</t>
        </is>
      </c>
      <c r="E183" s="25" t="inlineStr">
        <is>
          <t>Nuk ka dokument për këtë program; nuk shpik profile</t>
        </is>
      </c>
      <c r="F183" s="25" t="n">
        <v>2</v>
      </c>
      <c r="G183" s="25" t="inlineStr">
        <is>
          <t>Nuk e gjej këtë informacion në dokumentet e disponueshme. Të lutem kontakto administratën e UET-së për detaje rreth profileve të Masterit Shkencor në Arkitekturë.</t>
        </is>
      </c>
      <c r="H183" s="25" t="inlineStr">
        <is>
          <t>IV_b-INXHINIERI-NDERTIMI_MSH.pdf (f. 1) | IV_c-INXHINIERI-ELEKTRIKE_MSH-2.pdf (f. 2) | IV_c-INXHINIERI-MEKANIKE_MSH.pdf (f. 2)</t>
        </is>
      </c>
      <c r="I183" s="25" t="n">
        <v>2.36</v>
      </c>
      <c r="J183" s="26" t="inlineStr">
        <is>
          <t>E saktë</t>
        </is>
      </c>
      <c r="K183" s="26" t="inlineStr">
        <is>
          <t>jo</t>
        </is>
      </c>
      <c r="L183" s="25" t="n"/>
    </row>
    <row r="184" ht="68.65000000000001" customHeight="1" s="19">
      <c r="A184" s="27" t="n">
        <v>37</v>
      </c>
      <c r="B184" s="27" t="inlineStr">
        <is>
          <t>B</t>
        </is>
      </c>
      <c r="C184" s="27" t="inlineStr">
        <is>
          <t>jo</t>
        </is>
      </c>
      <c r="D184" s="27" t="inlineStr">
        <is>
          <t>Cilat janë profilet e Master Shkencor në Arkitekturë?</t>
        </is>
      </c>
      <c r="E184" s="27" t="inlineStr">
        <is>
          <t>Nuk ka dokument për këtë program; nuk shpik profile</t>
        </is>
      </c>
      <c r="F184" s="27" t="n">
        <v>3</v>
      </c>
      <c r="G184" s="27" t="inlineStr">
        <is>
          <t>Nuk e gjej këtë informacion në dokumentet e disponueshme. Të lutem, kontakto administratën e UET-së për detaje mbi programin e Masterit në Arkitekturë.</t>
        </is>
      </c>
      <c r="H184" s="27" t="inlineStr">
        <is>
          <t>IV_b-INXHINIERI-NDERTIMI_MSH.pdf (f. 1) | IV_c-INXHINIERI-ELEKTRIKE_MSH-2.pdf (f. 2) | IV_c-INXHINIERI-MEKANIKE_MSH.pdf (f. 2)</t>
        </is>
      </c>
      <c r="I184" s="27" t="n">
        <v>3.29</v>
      </c>
      <c r="J184" s="27">
        <f>J183</f>
        <v/>
      </c>
      <c r="K184" s="27">
        <f>K183</f>
        <v/>
      </c>
      <c r="L184" s="27" t="inlineStr">
        <is>
          <t>Pothuajse identike me ekzekutimin 2</t>
        </is>
      </c>
    </row>
    <row r="185" ht="68.65000000000001" customHeight="1" s="19">
      <c r="A185" s="27" t="n">
        <v>37</v>
      </c>
      <c r="B185" s="27" t="inlineStr">
        <is>
          <t>B</t>
        </is>
      </c>
      <c r="C185" s="27" t="inlineStr">
        <is>
          <t>jo</t>
        </is>
      </c>
      <c r="D185" s="27" t="inlineStr">
        <is>
          <t>Cilat janë profilet e Master Shkencor në Arkitekturë?</t>
        </is>
      </c>
      <c r="E185" s="27" t="inlineStr">
        <is>
          <t>Nuk ka dokument për këtë program; nuk shpik profile</t>
        </is>
      </c>
      <c r="F185" s="27" t="n">
        <v>4</v>
      </c>
      <c r="G185" s="27" t="inlineStr">
        <is>
          <t>Nuk e gjej këtë informacion në dokumentet e disponueshme. Të lutem kontakto administratën e UET-së për detaje mbi programin e Master Shkencor në Arkitekturë.</t>
        </is>
      </c>
      <c r="H185" s="27" t="inlineStr">
        <is>
          <t>IV_b-INXHINIERI-NDERTIMI_MSH.pdf (f. 1) | IV_c-INXHINIERI-ELEKTRIKE_MSH-2.pdf (f. 2) | IV_c-INXHINIERI-MEKANIKE_MSH.pdf (f. 2)</t>
        </is>
      </c>
      <c r="I185" s="27" t="n">
        <v>1.63</v>
      </c>
      <c r="J185" s="27">
        <f>J183</f>
        <v/>
      </c>
      <c r="K185" s="27">
        <f>K183</f>
        <v/>
      </c>
      <c r="L185" s="27" t="inlineStr">
        <is>
          <t>Pothuajse identike me ekzekutimin 2</t>
        </is>
      </c>
    </row>
    <row r="186" ht="68.65000000000001" customHeight="1" s="19">
      <c r="A186" s="27" t="n">
        <v>37</v>
      </c>
      <c r="B186" s="27" t="inlineStr">
        <is>
          <t>B</t>
        </is>
      </c>
      <c r="C186" s="27" t="inlineStr">
        <is>
          <t>jo</t>
        </is>
      </c>
      <c r="D186" s="27" t="inlineStr">
        <is>
          <t>Cilat janë profilet e Master Shkencor në Arkitekturë?</t>
        </is>
      </c>
      <c r="E186" s="27" t="inlineStr">
        <is>
          <t>Nuk ka dokument për këtë program; nuk shpik profile</t>
        </is>
      </c>
      <c r="F186" s="27" t="n">
        <v>5</v>
      </c>
      <c r="G186" s="27" t="inlineStr">
        <is>
          <t>Nuk e gjej këtë informacion në dokumentet e disponueshme. Të lutem kontakto administratën e UET-së për detaje mbi programin e Masterit në Arkitekturë.</t>
        </is>
      </c>
      <c r="H186" s="27" t="inlineStr">
        <is>
          <t>IV_b-INXHINIERI-NDERTIMI_MSH.pdf (f. 1) | IV_c-INXHINIERI-ELEKTRIKE_MSH-2.pdf (f. 2) | IV_c-INXHINIERI-MEKANIKE_MSH.pdf (f. 2)</t>
        </is>
      </c>
      <c r="I186" s="27" t="n">
        <v>1.21</v>
      </c>
      <c r="J186" s="27">
        <f>J183</f>
        <v/>
      </c>
      <c r="K186" s="27">
        <f>K183</f>
        <v/>
      </c>
      <c r="L186" s="27" t="inlineStr">
        <is>
          <t>Pothuajse identike me ekzekutimin 2</t>
        </is>
      </c>
    </row>
    <row r="187" ht="23.85" customHeight="1" s="19">
      <c r="A187" s="23" t="n">
        <v>38</v>
      </c>
      <c r="B187" s="23" t="inlineStr">
        <is>
          <t>B</t>
        </is>
      </c>
      <c r="C187" s="23" t="inlineStr">
        <is>
          <t>jo</t>
        </is>
      </c>
      <c r="D187" s="23" t="inlineStr">
        <is>
          <t>Kush është dekani i fakultetit?</t>
        </is>
      </c>
      <c r="E187" s="23" t="inlineStr">
        <is>
          <t>Nuk ka përgjigje në dokumente</t>
        </is>
      </c>
      <c r="F187" s="23" t="n">
        <v>1</v>
      </c>
      <c r="G187" s="23" t="inlineStr">
        <is>
          <t>(Teksti i përgjigjes së ekzekutimit origjinal nuk është i disponueshëm – vlerësimi është marrë nga Shtojca A.)</t>
        </is>
      </c>
      <c r="H187" s="23" t="n"/>
      <c r="I187" s="23" t="n">
        <v>1.23</v>
      </c>
      <c r="J187" s="24" t="inlineStr">
        <is>
          <t>E saktë</t>
        </is>
      </c>
      <c r="K187" s="24" t="inlineStr">
        <is>
          <t>jo</t>
        </is>
      </c>
      <c r="L187" s="23" t="n"/>
    </row>
    <row r="188" ht="91" customHeight="1" s="19">
      <c r="A188" s="25" t="n">
        <v>38</v>
      </c>
      <c r="B188" s="25" t="inlineStr">
        <is>
          <t>B</t>
        </is>
      </c>
      <c r="C188" s="25" t="inlineStr">
        <is>
          <t>jo</t>
        </is>
      </c>
      <c r="D188" s="25" t="inlineStr">
        <is>
          <t>Kush është dekani i fakultetit?</t>
        </is>
      </c>
      <c r="E188" s="25" t="inlineStr">
        <is>
          <t>Nuk ka përgjigje në dokumente</t>
        </is>
      </c>
      <c r="F188" s="25" t="n">
        <v>2</v>
      </c>
      <c r="G188" s="25" t="inlineStr">
        <is>
          <t>Nuk e gjej këtë informacion në dokumentet e disponueshme. Të lutem, kontakto administratën e UET-së për detaje të tilla.</t>
        </is>
      </c>
      <c r="H188" s="25" t="inlineStr">
        <is>
          <t>MSc_-Teknologji-Informacioni.pdf (f. 1) | MSH-Finance-AL.pdf (f. 4) | MSH-Administrim-Biznesi-AL.pdf (f. 4) | IV_b-INXHINIERI-NDERTIMI_MSH.pdf (f. 3) | IV_c-INXHINIERI-MEKANIKE_MSH.pdf (f. 5)</t>
        </is>
      </c>
      <c r="I188" s="25" t="n">
        <v>1.42</v>
      </c>
      <c r="J188" s="26" t="inlineStr">
        <is>
          <t>E saktë</t>
        </is>
      </c>
      <c r="K188" s="26" t="inlineStr">
        <is>
          <t>jo</t>
        </is>
      </c>
      <c r="L188" s="25" t="n"/>
    </row>
    <row r="189" ht="91" customHeight="1" s="19">
      <c r="A189" s="27" t="n">
        <v>38</v>
      </c>
      <c r="B189" s="27" t="inlineStr">
        <is>
          <t>B</t>
        </is>
      </c>
      <c r="C189" s="27" t="inlineStr">
        <is>
          <t>jo</t>
        </is>
      </c>
      <c r="D189" s="27" t="inlineStr">
        <is>
          <t>Kush është dekani i fakultetit?</t>
        </is>
      </c>
      <c r="E189" s="27" t="inlineStr">
        <is>
          <t>Nuk ka përgjigje në dokumente</t>
        </is>
      </c>
      <c r="F189" s="27" t="n">
        <v>3</v>
      </c>
      <c r="G189" s="27" t="inlineStr">
        <is>
          <t>Nuk e gjej këtë informacion në dokumentet e disponueshme. Të lutem kontakto administratën e UET-së për këtë pyetje.</t>
        </is>
      </c>
      <c r="H189" s="27" t="inlineStr">
        <is>
          <t>MSc_-Teknologji-Informacioni.pdf (f. 1) | MSH-Finance-AL.pdf (f. 4) | MSH-Administrim-Biznesi-AL.pdf (f. 4) | IV_b-INXHINIERI-NDERTIMI_MSH.pdf (f. 3) | IV_c-INXHINIERI-MEKANIKE_MSH.pdf (f. 5)</t>
        </is>
      </c>
      <c r="I189" s="27" t="n">
        <v>1.35</v>
      </c>
      <c r="J189" s="27">
        <f>J188</f>
        <v/>
      </c>
      <c r="K189" s="27">
        <f>K188</f>
        <v/>
      </c>
      <c r="L189" s="27" t="inlineStr">
        <is>
          <t>Pothuajse identike me ekzekutimin 2</t>
        </is>
      </c>
    </row>
    <row r="190" ht="91" customHeight="1" s="19">
      <c r="A190" s="27" t="n">
        <v>38</v>
      </c>
      <c r="B190" s="27" t="inlineStr">
        <is>
          <t>B</t>
        </is>
      </c>
      <c r="C190" s="27" t="inlineStr">
        <is>
          <t>jo</t>
        </is>
      </c>
      <c r="D190" s="27" t="inlineStr">
        <is>
          <t>Kush është dekani i fakultetit?</t>
        </is>
      </c>
      <c r="E190" s="27" t="inlineStr">
        <is>
          <t>Nuk ka përgjigje në dokumente</t>
        </is>
      </c>
      <c r="F190" s="27" t="n">
        <v>4</v>
      </c>
      <c r="G190" s="27" t="inlineStr">
        <is>
          <t>Nuk e gjej këtë informacion në dokumentet e disponueshme. Të lutem kontakto administratën e UET-së për detaje të tilla.</t>
        </is>
      </c>
      <c r="H190" s="27" t="inlineStr">
        <is>
          <t>MSc_-Teknologji-Informacioni.pdf (f. 1) | MSH-Finance-AL.pdf (f. 4) | MSH-Administrim-Biznesi-AL.pdf (f. 4) | IV_b-INXHINIERI-NDERTIMI_MSH.pdf (f. 3) | IV_c-INXHINIERI-MEKANIKE_MSH.pdf (f. 5)</t>
        </is>
      </c>
      <c r="I190" s="27" t="n">
        <v>1.38</v>
      </c>
      <c r="J190" s="27">
        <f>J188</f>
        <v/>
      </c>
      <c r="K190" s="27">
        <f>K188</f>
        <v/>
      </c>
      <c r="L190" s="27" t="inlineStr">
        <is>
          <t>Pothuajse identike me ekzekutimin 2</t>
        </is>
      </c>
    </row>
    <row r="191" ht="91" customHeight="1" s="19">
      <c r="A191" s="27" t="n">
        <v>38</v>
      </c>
      <c r="B191" s="27" t="inlineStr">
        <is>
          <t>B</t>
        </is>
      </c>
      <c r="C191" s="27" t="inlineStr">
        <is>
          <t>jo</t>
        </is>
      </c>
      <c r="D191" s="27" t="inlineStr">
        <is>
          <t>Kush është dekani i fakultetit?</t>
        </is>
      </c>
      <c r="E191" s="27" t="inlineStr">
        <is>
          <t>Nuk ka përgjigje në dokumente</t>
        </is>
      </c>
      <c r="F191" s="27" t="n">
        <v>5</v>
      </c>
      <c r="G191" s="27" t="inlineStr">
        <is>
          <t>Nuk e gjej këtë informacion në dokumentet e disponueshme. Të lutem kontakto administratën e UET-së për këtë pyetje.</t>
        </is>
      </c>
      <c r="H191" s="27" t="inlineStr">
        <is>
          <t>MSc_-Teknologji-Informacioni.pdf (f. 1) | MSH-Finance-AL.pdf (f. 4) | MSH-Administrim-Biznesi-AL.pdf (f. 4) | IV_b-INXHINIERI-NDERTIMI_MSH.pdf (f. 3) | IV_c-INXHINIERI-MEKANIKE_MSH.pdf (f. 5)</t>
        </is>
      </c>
      <c r="I191" s="27" t="n">
        <v>1.29</v>
      </c>
      <c r="J191" s="27">
        <f>J188</f>
        <v/>
      </c>
      <c r="K191" s="27">
        <f>K188</f>
        <v/>
      </c>
      <c r="L191" s="27" t="inlineStr">
        <is>
          <t>Pothuajse identike me ekzekutimin 2</t>
        </is>
      </c>
    </row>
    <row r="192" ht="91" customHeight="1" s="19">
      <c r="A192" s="23" t="n">
        <v>39</v>
      </c>
      <c r="B192" s="23" t="inlineStr">
        <is>
          <t>D</t>
        </is>
      </c>
      <c r="C192" s="23" t="inlineStr">
        <is>
          <t>po</t>
        </is>
      </c>
      <c r="D192" s="23" t="inlineStr">
        <is>
          <t>Çfarë lëndësh kam këtë semestër?</t>
        </is>
      </c>
      <c r="E192" s="23" t="inlineStr">
        <is>
          <t>Kontrolli dhe auditimi i sigurisë në rrjetat kompjuterike 6 ECTS; Zhvillim Webi: aplikime dhe programim 10 ECTS; Menaxhimi i inovacionit 6 ECTS (profili IT e biznesit); Punimi i diplomës 18 ECTS (vjetor, sem. 1-2). Shënim: Menaxhim financiar sipas planit të korrigjuar është në vitin II, sem. 1</t>
        </is>
      </c>
      <c r="F192" s="23" t="n">
        <v>1</v>
      </c>
      <c r="G192" s="23" t="inlineStr">
        <is>
          <t>(Teksti i përgjigjes së ekzekutimit origjinal nuk është i disponueshëm – vlerësimi është marrë nga Shtojca A.)</t>
        </is>
      </c>
      <c r="H192" s="23" t="n"/>
      <c r="I192" s="23" t="n">
        <v>4.01</v>
      </c>
      <c r="J192" s="24" t="inlineStr">
        <is>
          <t>E pasaktë</t>
        </is>
      </c>
      <c r="K192" s="24" t="inlineStr">
        <is>
          <t>jo</t>
        </is>
      </c>
      <c r="L192" s="23" t="n"/>
    </row>
    <row r="193" ht="135.8" customHeight="1" s="19">
      <c r="A193" s="25" t="n">
        <v>39</v>
      </c>
      <c r="B193" s="25" t="inlineStr">
        <is>
          <t>D</t>
        </is>
      </c>
      <c r="C193" s="25" t="inlineStr">
        <is>
          <t>po</t>
        </is>
      </c>
      <c r="D193" s="25" t="inlineStr">
        <is>
          <t>Çfarë lëndësh kam këtë semestër?</t>
        </is>
      </c>
      <c r="E193" s="25" t="inlineStr">
        <is>
          <t>Kontrolli dhe auditimi i sigurisë në rrjetat kompjuterike 6 ECTS; Zhvillim Webi: aplikime dhe programim 10 ECTS; Menaxhimi i inovacionit 6 ECTS (profili IT e biznesit); Punimi i diplomës 18 ECTS (vjetor, sem. 1-2). Shënim: Menaxhim financiar sipas planit të korrigjuar është në vitin II, sem. 1</t>
        </is>
      </c>
      <c r="F193" s="25" t="n">
        <v>2</v>
      </c>
      <c r="G193" s="25" t="inlineStr">
        <is>
          <t>Në semestrin e parë të Masterit të Shkencave në Teknologji Informacioni, ke këto lëndë:
1. Metoda kërkimi në inxhinieri - 6 ECTS
2. Aplikimi i Sistemeve të Informacionit - 8 ECTS
3. Projektim dhe Analizë e Bazave të të Dhënave - 8 ECTS
4. Menaxhimi i proceseve të biznesit - 6 ECTS
5. Zhvillim i avancuar i softwerëve - 6 ECTS
6. Aftësi Menaxheriale - 6 ECTS
7. Praktikë profesionale - 12 ECTS
Burimi: Master i Shkencave në Teknologji Informacioni.</t>
        </is>
      </c>
      <c r="H193" s="25" t="inlineStr">
        <is>
          <t>MSc_-Teknologji-Informacioni.pdf (f. 1)</t>
        </is>
      </c>
      <c r="I193" s="25" t="n">
        <v>4.27</v>
      </c>
      <c r="J193" s="26" t="inlineStr">
        <is>
          <t>E pasaktë</t>
        </is>
      </c>
      <c r="K193" s="26" t="inlineStr">
        <is>
          <t>jo</t>
        </is>
      </c>
      <c r="L193" s="25" t="inlineStr">
        <is>
          <t>Nuk përdor profilin akademik (viti 2, semestri 2, IT e biznesit): liston lëndë të 'semestrit të parë' të përziera nga semestra e profile të ndryshme (p.sh. Zhvillim i avancuar i softwerëve është i profilit Zhvillim Softweresh). Mungojnë Kontrolli dhe auditimi, Zhvillim Webi, Menaxhimi i inovacionit, Punimi i diplomës. Emrat dhe ECTS ekzistojnë te plani.</t>
        </is>
      </c>
    </row>
    <row r="194" ht="147" customHeight="1" s="19">
      <c r="A194" s="25" t="n">
        <v>39</v>
      </c>
      <c r="B194" s="25" t="inlineStr">
        <is>
          <t>D</t>
        </is>
      </c>
      <c r="C194" s="25" t="inlineStr">
        <is>
          <t>po</t>
        </is>
      </c>
      <c r="D194" s="25" t="inlineStr">
        <is>
          <t>Çfarë lëndësh kam këtë semestër?</t>
        </is>
      </c>
      <c r="E194" s="25" t="inlineStr">
        <is>
          <t>Kontrolli dhe auditimi i sigurisë në rrjetat kompjuterike 6 ECTS; Zhvillim Webi: aplikime dhe programim 10 ECTS; Menaxhimi i inovacionit 6 ECTS (profili IT e biznesit); Punimi i diplomës 18 ECTS (vjetor, sem. 1-2). Shënim: Menaxhim financiar sipas planit të korrigjuar është në vitin II, sem. 1</t>
        </is>
      </c>
      <c r="F194" s="25" t="n">
        <v>3</v>
      </c>
      <c r="G194" s="25" t="inlineStr">
        <is>
          <t>Në semestrin e parë të Masterit të Shkencave në Teknologji Informacioni, ke këto lëndë:
1. Metoda kërkimi në inxhinieri - 6 ECTS
2. Aplikimi i Sistemeve të Informacionit - 8 ECTS
3. Projektim dhe Analizë e Bazave të të Dhënave - 8 ECTS
4. Menaxhimi i proceseve të biznesit - 6 ECTS
5. Menaxhimi i Rrjetave Kompjuterike - 10 ECTS
6. Zhvillim i avancuar i softwerëve - 6 ECTS
7. Aftësi Menaxheriale - 6 ECTS
8. Praktikë profesionale - 12 ECTS
Burimi: Master i Shkencave në Teknologji Informacioni.</t>
        </is>
      </c>
      <c r="H194" s="25" t="inlineStr">
        <is>
          <t>MSc_-Teknologji-Informacioni.pdf (f. 1)</t>
        </is>
      </c>
      <c r="I194" s="25" t="n">
        <v>4.09</v>
      </c>
      <c r="J194" s="26" t="inlineStr">
        <is>
          <t>E pasaktë</t>
        </is>
      </c>
      <c r="K194" s="26" t="inlineStr">
        <is>
          <t>jo</t>
        </is>
      </c>
      <c r="L194" s="25" t="inlineStr">
        <is>
          <t>Nuk përdor profilin akademik (viti 2, semestri 2, IT e biznesit): liston lëndë të 'semestrit të parë' të përziera nga semestra e profile të ndryshme (p.sh. Zhvillim i avancuar i softwerëve është i profilit Zhvillim Softweresh). Mungojnë Kontrolli dhe auditimi, Zhvillim Webi, Menaxhimi i inovacionit, Punimi i diplomës. Emrat dhe ECTS ekzistojnë te plani.</t>
        </is>
      </c>
    </row>
    <row r="195" ht="147" customHeight="1" s="19">
      <c r="A195" s="25" t="n">
        <v>39</v>
      </c>
      <c r="B195" s="25" t="inlineStr">
        <is>
          <t>D</t>
        </is>
      </c>
      <c r="C195" s="25" t="inlineStr">
        <is>
          <t>po</t>
        </is>
      </c>
      <c r="D195" s="25" t="inlineStr">
        <is>
          <t>Çfarë lëndësh kam këtë semestër?</t>
        </is>
      </c>
      <c r="E195" s="25" t="inlineStr">
        <is>
          <t>Kontrolli dhe auditimi i sigurisë në rrjetat kompjuterike 6 ECTS; Zhvillim Webi: aplikime dhe programim 10 ECTS; Menaxhimi i inovacionit 6 ECTS (profili IT e biznesit); Punimi i diplomës 18 ECTS (vjetor, sem. 1-2). Shënim: Menaxhim financiar sipas planit të korrigjuar është në vitin II, sem. 1</t>
        </is>
      </c>
      <c r="F195" s="25" t="n">
        <v>4</v>
      </c>
      <c r="G195" s="25" t="inlineStr">
        <is>
          <t>Në semestrin e parë të Masterit të Shkencave në Teknologji Informacioni, ke këto lëndë:
1. Metoda kërkimi në inxhinieri - 6 ECTS
2. Aplikimi i Sistemeve të Informacionit - 8 ECTS
3. Projektim dhe Analizë e Bazave të të Dhënave - 8 ECTS
4. Menaxhimi i proceseve të biznesit - 6 ECTS
5. Menaxhimi i Rrjetave Kompjuterike - 10 ECTS
6. Zhvillim i avancuar i softwerëve - 6 ECTS
7. Aftësi Menaxheriale - 6 ECTS
8. Praktikë profesionale - 12 ECTS
Burimi: Master i Shkencave në Teknologji Informacioni.</t>
        </is>
      </c>
      <c r="H195" s="25" t="inlineStr">
        <is>
          <t>MSc_-Teknologji-Informacioni.pdf (f. 1)</t>
        </is>
      </c>
      <c r="I195" s="25" t="n">
        <v>4.41</v>
      </c>
      <c r="J195" s="26" t="inlineStr">
        <is>
          <t>E pasaktë</t>
        </is>
      </c>
      <c r="K195" s="26" t="inlineStr">
        <is>
          <t>jo</t>
        </is>
      </c>
      <c r="L195" s="25" t="inlineStr">
        <is>
          <t>Nuk përdor profilin akademik (viti 2, semestri 2, IT e biznesit): liston lëndë të 'semestrit të parë' të përziera nga semestra e profile të ndryshme (p.sh. Zhvillim i avancuar i softwerëve është i profilit Zhvillim Softweresh). Mungojnë Kontrolli dhe auditimi, Zhvillim Webi, Menaxhimi i inovacionit, Punimi i diplomës. Emrat dhe ECTS ekzistojnë te plani.</t>
        </is>
      </c>
    </row>
    <row r="196" ht="113.4" customHeight="1" s="19">
      <c r="A196" s="25" t="n">
        <v>39</v>
      </c>
      <c r="B196" s="25" t="inlineStr">
        <is>
          <t>D</t>
        </is>
      </c>
      <c r="C196" s="25" t="inlineStr">
        <is>
          <t>po</t>
        </is>
      </c>
      <c r="D196" s="25" t="inlineStr">
        <is>
          <t>Çfarë lëndësh kam këtë semestër?</t>
        </is>
      </c>
      <c r="E196" s="25" t="inlineStr">
        <is>
          <t>Kontrolli dhe auditimi i sigurisë në rrjetat kompjuterike 6 ECTS; Zhvillim Webi: aplikime dhe programim 10 ECTS; Menaxhimi i inovacionit 6 ECTS (profili IT e biznesit); Punimi i diplomës 18 ECTS (vjetor, sem. 1-2). Shënim: Menaxhim financiar sipas planit të korrigjuar është në vitin II, sem. 1</t>
        </is>
      </c>
      <c r="F196" s="25" t="n">
        <v>5</v>
      </c>
      <c r="G196" s="25" t="inlineStr">
        <is>
          <t>Në semestrin e parë të vitit të parë në programin Master i Shkencave në Teknologji Informacioni, ke këto lëndë:
1. Metoda kërkimi në inxhinieri - 6 ECTS
2. Aplikimi i Sistemeve të Informacionit - 8 ECTS
3. Projektim dhe Analizë e Bazave të të Dhënave - 8 ECTS
4. Menaxhimi i proceseve të biznesit - 6 ECTS
5. Praktikë profesionale - 12 ECTS
Burimi: Master i Shkencave në Teknologji Informacioni.</t>
        </is>
      </c>
      <c r="H196" s="25" t="inlineStr">
        <is>
          <t>MSc_-Teknologji-Informacioni.pdf (f. 1)</t>
        </is>
      </c>
      <c r="I196" s="25" t="n">
        <v>4.34</v>
      </c>
      <c r="J196" s="26" t="inlineStr">
        <is>
          <t>E pasaktë</t>
        </is>
      </c>
      <c r="K196" s="26" t="inlineStr">
        <is>
          <t>jo</t>
        </is>
      </c>
      <c r="L196" s="25" t="inlineStr">
        <is>
          <t>Nuk përdor profilin akademik (viti 2, semestri 2, IT e biznesit): liston lëndë të 'semestrit të parë' të përziera nga semestra e profile të ndryshme (p.sh. Zhvillim i avancuar i softwerëve është i profilit Zhvillim Softweresh). Mungojnë Kontrolli dhe auditimi, Zhvillim Webi, Menaxhimi i inovacionit, Punimi i diplomës. Emrat dhe ECTS ekzistojnë te plani.</t>
        </is>
      </c>
    </row>
    <row r="197" ht="68.65000000000001" customHeight="1" s="19">
      <c r="A197" s="23" t="n">
        <v>40</v>
      </c>
      <c r="B197" s="23" t="inlineStr">
        <is>
          <t>D</t>
        </is>
      </c>
      <c r="C197" s="23" t="inlineStr">
        <is>
          <t>po</t>
        </is>
      </c>
      <c r="D197" s="23" t="inlineStr">
        <is>
          <t>Çfarë lëndësh kam këtë semestër?</t>
        </is>
      </c>
      <c r="E197" s="23" t="inlineStr">
        <is>
          <t>Metoda kërkimi në inxhinieri 6 ECTS; Projektim dhe Analizë e Bazave të të Dhënave 8 ECTS; Menaxhimi i proceseve të biznesit 6 ECTS; Praktikë profesionale 12 ECTS (vjetore, sem. 1-2). Profili IT e biznesit nuk ka lëndë në këtë semestër</t>
        </is>
      </c>
      <c r="F197" s="23" t="n">
        <v>1</v>
      </c>
      <c r="G197" s="23" t="inlineStr">
        <is>
          <t>(Teksti i përgjigjes së ekzekutimit origjinal nuk është i disponueshëm – vlerësimi është marrë nga Shtojca A.)</t>
        </is>
      </c>
      <c r="H197" s="23" t="n"/>
      <c r="I197" s="23" t="n">
        <v>4.59</v>
      </c>
      <c r="J197" s="24" t="inlineStr">
        <is>
          <t>E pasaktë</t>
        </is>
      </c>
      <c r="K197" s="24" t="inlineStr">
        <is>
          <t>jo</t>
        </is>
      </c>
      <c r="L197" s="23" t="n"/>
    </row>
    <row r="198" ht="147" customHeight="1" s="19">
      <c r="A198" s="25" t="n">
        <v>40</v>
      </c>
      <c r="B198" s="25" t="inlineStr">
        <is>
          <t>D</t>
        </is>
      </c>
      <c r="C198" s="25" t="inlineStr">
        <is>
          <t>po</t>
        </is>
      </c>
      <c r="D198" s="25" t="inlineStr">
        <is>
          <t>Çfarë lëndësh kam këtë semestër?</t>
        </is>
      </c>
      <c r="E198" s="25" t="inlineStr">
        <is>
          <t>Metoda kërkimi në inxhinieri 6 ECTS; Projektim dhe Analizë e Bazave të të Dhënave 8 ECTS; Menaxhimi i proceseve të biznesit 6 ECTS; Praktikë profesionale 12 ECTS (vjetore, sem. 1-2). Profili IT e biznesit nuk ka lëndë në këtë semestër</t>
        </is>
      </c>
      <c r="F198" s="25" t="n">
        <v>2</v>
      </c>
      <c r="G198" s="25" t="inlineStr">
        <is>
          <t>Në semestrin e parë të vitit të parë të Masterit të Shkencave në Teknologji Informacioni, ke këto lëndë:
1. Metoda kërkimi në inxhinieri - 6 ECTS
2. Aplikimi i Sistemeve të Informacionit - 8 ECTS
3. Projektim dhe Analizë e Bazave të të Dhënave - 8 ECTS
4. Menaxhimi i proceseve të biznesit - 6 ECTS
5. Menaxhimi i Rrjetave Kompjuterike - 10 ECTS
6. Zhvillim i avancuar i softwerëve - 6 ECTS
7. Aftësi Menaxheriale - 6 ECTS
8. Praktikë profesionale - 12 ECTS
Burimi: Master i Shkencave në Teknologji Informacioni.</t>
        </is>
      </c>
      <c r="H198" s="25" t="inlineStr">
        <is>
          <t>MSc_-Teknologji-Informacioni.pdf (f. 1)</t>
        </is>
      </c>
      <c r="I198" s="25" t="n">
        <v>4.36</v>
      </c>
      <c r="J198" s="26" t="inlineStr">
        <is>
          <t>E pasaktë</t>
        </is>
      </c>
      <c r="K198" s="26" t="inlineStr">
        <is>
          <t>jo</t>
        </is>
      </c>
      <c r="L198" s="25" t="inlineStr">
        <is>
          <t>Liston lëndë nga semestra dhe profile të përziera (p.sh. Aplikimi i sistemeve është II/1, Menaxhimi i rrjetave I/2, Zhvillim i avancuar i softwerëve dhe Aftësi Menaxheriale I/2). Pritej: Metoda kërkimi, Projektim BD, Menaxhimi i proceseve të biznesit. Emrat dhe ECTS ekzistojnë te plani.</t>
        </is>
      </c>
    </row>
    <row r="199" ht="124.6" customHeight="1" s="19">
      <c r="A199" s="25" t="n">
        <v>40</v>
      </c>
      <c r="B199" s="25" t="inlineStr">
        <is>
          <t>D</t>
        </is>
      </c>
      <c r="C199" s="25" t="inlineStr">
        <is>
          <t>po</t>
        </is>
      </c>
      <c r="D199" s="25" t="inlineStr">
        <is>
          <t>Çfarë lëndësh kam këtë semestër?</t>
        </is>
      </c>
      <c r="E199" s="25" t="inlineStr">
        <is>
          <t>Metoda kërkimi në inxhinieri 6 ECTS; Projektim dhe Analizë e Bazave të të Dhënave 8 ECTS; Menaxhimi i proceseve të biznesit 6 ECTS; Praktikë profesionale 12 ECTS (vjetore, sem. 1-2). Profili IT e biznesit nuk ka lëndë në këtë semestër</t>
        </is>
      </c>
      <c r="F199" s="25" t="n">
        <v>3</v>
      </c>
      <c r="G199" s="25" t="inlineStr">
        <is>
          <t>Në semestrin e parë të Masterit të Shkencave në Teknologji Informacioni, ke këto lëndë:
1. Metoda kërkimi në inxhinieri - 6 ECTS
2. Aplikimi i Sistemeve të Informacionit - 8 ECTS
3. Projektim dhe Analizë e Bazave të të Dhënave - 8 ECTS
4. Menaxhimi i proceseve të biznesit - 6 ECTS
5. Menaxhimi i Rrjetave Kompjuterike - 10 ECTS
6. Praktikë profesionale - 12 ECTS
Burimi: Master i Shkencave në Teknologji Informacioni.</t>
        </is>
      </c>
      <c r="H199" s="25" t="inlineStr">
        <is>
          <t>MSc_-Teknologji-Informacioni.pdf (f. 1)</t>
        </is>
      </c>
      <c r="I199" s="25" t="n">
        <v>4.1</v>
      </c>
      <c r="J199" s="26" t="inlineStr">
        <is>
          <t>E pasaktë</t>
        </is>
      </c>
      <c r="K199" s="26" t="inlineStr">
        <is>
          <t>jo</t>
        </is>
      </c>
      <c r="L199" s="25" t="inlineStr">
        <is>
          <t>Liston lëndë nga semestra dhe profile të përziera (p.sh. Aplikimi i sistemeve është II/1, Menaxhimi i rrjetave I/2, Zhvillim i avancuar i softwerëve dhe Aftësi Menaxheriale I/2). Pritej: Metoda kërkimi, Projektim BD, Menaxhimi i proceseve të biznesit. Emrat dhe ECTS ekzistojnë te plani.</t>
        </is>
      </c>
    </row>
    <row r="200" ht="135.8" customHeight="1" s="19">
      <c r="A200" s="25" t="n">
        <v>40</v>
      </c>
      <c r="B200" s="25" t="inlineStr">
        <is>
          <t>D</t>
        </is>
      </c>
      <c r="C200" s="25" t="inlineStr">
        <is>
          <t>po</t>
        </is>
      </c>
      <c r="D200" s="25" t="inlineStr">
        <is>
          <t>Çfarë lëndësh kam këtë semestër?</t>
        </is>
      </c>
      <c r="E200" s="25" t="inlineStr">
        <is>
          <t>Metoda kërkimi në inxhinieri 6 ECTS; Projektim dhe Analizë e Bazave të të Dhënave 8 ECTS; Menaxhimi i proceseve të biznesit 6 ECTS; Praktikë profesionale 12 ECTS (vjetore, sem. 1-2). Profili IT e biznesit nuk ka lëndë në këtë semestër</t>
        </is>
      </c>
      <c r="F200" s="25" t="n">
        <v>4</v>
      </c>
      <c r="G200" s="25" t="inlineStr">
        <is>
          <t>Në semestrin e parë të vitit të parë në programin Master i Shkencave në Teknologji Informacioni, ke këto lëndë:
1. Metoda kërkimi në inxhinieri - 6 ECTS
2. Aplikimi i Sistemeve të Informacionit - 8 ECTS
3. Projektim dhe Analizë e Bazave të të Dhënave - 8 ECTS
4. Menaxhimi i proceseve të biznesit - 6 ECTS
5. Zhvillim i avancuar i softwerëve - 6 ECTS
6. Aftësi Menaxheriale - 6 ECTS
7. Praktikë profesionale - 12 ECTS
Burimi: Master i Shkencave në Teknologji Informacioni.</t>
        </is>
      </c>
      <c r="H200" s="25" t="inlineStr">
        <is>
          <t>MSc_-Teknologji-Informacioni.pdf (f. 1)</t>
        </is>
      </c>
      <c r="I200" s="25" t="n">
        <v>5.45</v>
      </c>
      <c r="J200" s="26" t="inlineStr">
        <is>
          <t>E pasaktë</t>
        </is>
      </c>
      <c r="K200" s="26" t="inlineStr">
        <is>
          <t>jo</t>
        </is>
      </c>
      <c r="L200" s="25" t="inlineStr">
        <is>
          <t>Liston lëndë nga semestra dhe profile të përziera (p.sh. Aplikimi i sistemeve është II/1, Menaxhimi i rrjetave I/2, Zhvillim i avancuar i softwerëve dhe Aftësi Menaxheriale I/2). Pritej: Metoda kërkimi, Projektim BD, Menaxhimi i proceseve të biznesit. Emrat dhe ECTS ekzistojnë te plani.</t>
        </is>
      </c>
    </row>
    <row r="201" ht="135.8" customHeight="1" s="19">
      <c r="A201" s="25" t="n">
        <v>40</v>
      </c>
      <c r="B201" s="25" t="inlineStr">
        <is>
          <t>D</t>
        </is>
      </c>
      <c r="C201" s="25" t="inlineStr">
        <is>
          <t>po</t>
        </is>
      </c>
      <c r="D201" s="25" t="inlineStr">
        <is>
          <t>Çfarë lëndësh kam këtë semestër?</t>
        </is>
      </c>
      <c r="E201" s="25" t="inlineStr">
        <is>
          <t>Metoda kërkimi në inxhinieri 6 ECTS; Projektim dhe Analizë e Bazave të të Dhënave 8 ECTS; Menaxhimi i proceseve të biznesit 6 ECTS; Praktikë profesionale 12 ECTS (vjetore, sem. 1-2). Profili IT e biznesit nuk ka lëndë në këtë semestër</t>
        </is>
      </c>
      <c r="F201" s="25" t="n">
        <v>5</v>
      </c>
      <c r="G201" s="25" t="inlineStr">
        <is>
          <t>Në semestrin e parë të vitit të parë në programin Master i Shkencave në Teknologji Informacioni, ke këto lëndë:
1. Metoda kërkimi në inxhinieri - 6 ECTS
2. Aplikimi i Sistemeve të Informacionit - 8 ECTS
3. Projektim dhe Analizë e Bazave të të Dhënave - 8 ECTS
4. Menaxhimi i proceseve të biznesit - 6 ECTS
5. Zhvillim i avancuar i softwerëve - 6 ECTS
6. Aftësi Menaxheriale - 6 ECTS
7. Praktikë profesionale - 12 ECTS
Burimi: Master i Shkencave në Teknologji Informacioni.</t>
        </is>
      </c>
      <c r="H201" s="25" t="inlineStr">
        <is>
          <t>MSc_-Teknologji-Informacioni.pdf (f. 1)</t>
        </is>
      </c>
      <c r="I201" s="25" t="n">
        <v>4.66</v>
      </c>
      <c r="J201" s="26" t="inlineStr">
        <is>
          <t>E pasaktë</t>
        </is>
      </c>
      <c r="K201" s="26" t="inlineStr">
        <is>
          <t>jo</t>
        </is>
      </c>
      <c r="L201" s="25" t="inlineStr">
        <is>
          <t>Liston lëndë nga semestra dhe profile të përziera (p.sh. Aplikimi i sistemeve është II/1, Menaxhimi i rrjetave I/2, Zhvillim i avancuar i softwerëve dhe Aftësi Menaxheriale I/2). Pritej: Metoda kërkimi, Projektim BD, Menaxhimi i proceseve të biznesit. Emrat dhe ECTS ekzistojnë te plani.</t>
        </is>
      </c>
    </row>
    <row r="202" ht="113.4" customHeight="1" s="19">
      <c r="A202" s="23" t="n">
        <v>41</v>
      </c>
      <c r="B202" s="23" t="inlineStr">
        <is>
          <t>D</t>
        </is>
      </c>
      <c r="C202" s="23" t="inlineStr">
        <is>
          <t>po</t>
        </is>
      </c>
      <c r="D202" s="23" t="inlineStr">
        <is>
          <t>Çfarë lëndësh kam këtë semestër?</t>
        </is>
      </c>
      <c r="E202" s="23" t="inlineStr">
        <is>
          <t>Teori financiare 8 ECTS; Menaxhim financiar 6 ECTS; Metoda kërkimi në financë 12 ECTS dhe Praktikë/internship 12 ECTS (vjetore, sem. 1-2); lëndë sipas profilit: Kontabilitet bankar (Banka dhe tregje financiare), Auditimi financiar (Kontabilitet &amp; raportim financiar; Auditim dhe menaxhim risku). Duhet të shënojë që lëndët e profilit varen nga specializimi dhe të mos i dublikojë</t>
        </is>
      </c>
      <c r="F202" s="23" t="n">
        <v>1</v>
      </c>
      <c r="G202" s="23" t="inlineStr">
        <is>
          <t>(Teksti i përgjigjes së ekzekutimit origjinal nuk është i disponueshëm – vlerësimi është marrë nga Shtojca A.)</t>
        </is>
      </c>
      <c r="H202" s="23" t="n"/>
      <c r="I202" s="23" t="n">
        <v>3.88</v>
      </c>
      <c r="J202" s="24" t="inlineStr">
        <is>
          <t>E pasaktë</t>
        </is>
      </c>
      <c r="K202" s="24" t="inlineStr">
        <is>
          <t>jo</t>
        </is>
      </c>
      <c r="L202" s="23" t="n"/>
    </row>
    <row r="203" ht="124.6" customHeight="1" s="19">
      <c r="A203" s="25" t="n">
        <v>41</v>
      </c>
      <c r="B203" s="25" t="inlineStr">
        <is>
          <t>D</t>
        </is>
      </c>
      <c r="C203" s="25" t="inlineStr">
        <is>
          <t>po</t>
        </is>
      </c>
      <c r="D203" s="25" t="inlineStr">
        <is>
          <t>Çfarë lëndësh kam këtë semestër?</t>
        </is>
      </c>
      <c r="E203" s="25" t="inlineStr">
        <is>
          <t>Teori financiare 8 ECTS; Menaxhim financiar 6 ECTS; Metoda kërkimi në financë 12 ECTS dhe Praktikë/internship 12 ECTS (vjetore, sem. 1-2); lëndë sipas profilit: Kontabilitet bankar (Banka dhe tregje financiare), Auditimi financiar (Kontabilitet &amp; raportim financiar; Auditim dhe menaxhim risku). Duhet të shënojë që lëndët e profilit varen nga specializimi dhe të mos i dublikojë</t>
        </is>
      </c>
      <c r="F203" s="25" t="n">
        <v>2</v>
      </c>
      <c r="G203" s="25" t="inlineStr">
        <is>
          <t>Në semestrin e parë të vitit të parë në programin Master i Shkencave në Financë, ke këto lëndë:
1. Metoda kërkimi në financë (12 ECTS)
2. Ekonomiksi monetar dhe Banka Qendrore (10 ECTS)
3. Ekonomiksi i integrimit në BE (6 ECTS)
4. Teori financiare (8 ECTS)
5. Menaxhim financiar (6 ECTS)
6. Praktikë / internship (12 ECTS)
Në total, ke 54 ECTS për këtë semestër. (Master i Shkencave në Financë, f. 4)</t>
        </is>
      </c>
      <c r="H203" s="25" t="inlineStr">
        <is>
          <t>MSH-Finance-AL.pdf (f. 4, 2, 1, 3)</t>
        </is>
      </c>
      <c r="I203" s="25" t="n">
        <v>3.97</v>
      </c>
      <c r="J203" s="26" t="inlineStr">
        <is>
          <t>Pjesërisht e saktë</t>
        </is>
      </c>
      <c r="K203" s="26" t="inlineStr">
        <is>
          <t>jo</t>
        </is>
      </c>
      <c r="L203" s="25" t="inlineStr">
        <is>
          <t>Përmban katër lëndët e pritura (Teori financiare, Menaxhim financiar, Metoda kërkimi, Praktikë) por i paraqet si 'semestri i parë', shton Ekonomiksi monetar dhe Ekonomiksi i integrimit në BE, nuk përmend lëndët e profileve dhe nuk thotë se ato varen nga specializimi. Totali 54 ECTS del nga mbledhja e lëndëve të listuara.</t>
        </is>
      </c>
    </row>
    <row r="204" ht="124.6" customHeight="1" s="19">
      <c r="A204" s="25" t="n">
        <v>41</v>
      </c>
      <c r="B204" s="25" t="inlineStr">
        <is>
          <t>D</t>
        </is>
      </c>
      <c r="C204" s="25" t="inlineStr">
        <is>
          <t>po</t>
        </is>
      </c>
      <c r="D204" s="25" t="inlineStr">
        <is>
          <t>Çfarë lëndësh kam këtë semestër?</t>
        </is>
      </c>
      <c r="E204" s="25" t="inlineStr">
        <is>
          <t>Teori financiare 8 ECTS; Menaxhim financiar 6 ECTS; Metoda kërkimi në financë 12 ECTS dhe Praktikë/internship 12 ECTS (vjetore, sem. 1-2); lëndë sipas profilit: Kontabilitet bankar (Banka dhe tregje financiare), Auditimi financiar (Kontabilitet &amp; raportim financiar; Auditim dhe menaxhim risku). Duhet të shënojë që lëndët e profilit varen nga specializimi dhe të mos i dublikojë</t>
        </is>
      </c>
      <c r="F204" s="25" t="n">
        <v>3</v>
      </c>
      <c r="G204" s="25" t="inlineStr">
        <is>
          <t>Në semestrin e parë të vitit të parë, në programin Master i Shkencave në Financë, ke këto lëndë:
1. Metoda kërkimi në financë (12 ECTS)
2. Ekonomiksi monetar dhe Banka Qendrore (10 ECTS)
3. Ekonomiksi i integrimit në BE (6 ECTS)
4. Teori financiare (8 ECTS)
5. Menaxhim financiar (6 ECTS)
6. Praktikë / internship (12 ECTS)
Në total, ke 54 ECTS për këtë semestër. (Master i Shkencave në Financë, f. 4)</t>
        </is>
      </c>
      <c r="H204" s="25" t="inlineStr">
        <is>
          <t>MSH-Finance-AL.pdf (f. 4, 2, 1, 3)</t>
        </is>
      </c>
      <c r="I204" s="25" t="n">
        <v>4.19</v>
      </c>
      <c r="J204" s="26" t="inlineStr">
        <is>
          <t>Pjesërisht e saktë</t>
        </is>
      </c>
      <c r="K204" s="26" t="inlineStr">
        <is>
          <t>jo</t>
        </is>
      </c>
      <c r="L204" s="25" t="inlineStr">
        <is>
          <t>Përmban katër lëndët e pritura (Teori financiare, Menaxhim financiar, Metoda kërkimi, Praktikë) por i paraqet si 'semestri i parë', shton Ekonomiksi monetar dhe Ekonomiksi i integrimit në BE, nuk përmend lëndët e profileve dhe nuk thotë se ato varen nga specializimi. Totali 54 ECTS del nga mbledhja e lëndëve të listuara.</t>
        </is>
      </c>
    </row>
    <row r="205" ht="113.4" customHeight="1" s="19">
      <c r="A205" s="25" t="n">
        <v>41</v>
      </c>
      <c r="B205" s="25" t="inlineStr">
        <is>
          <t>D</t>
        </is>
      </c>
      <c r="C205" s="25" t="inlineStr">
        <is>
          <t>po</t>
        </is>
      </c>
      <c r="D205" s="25" t="inlineStr">
        <is>
          <t>Çfarë lëndësh kam këtë semestër?</t>
        </is>
      </c>
      <c r="E205" s="25" t="inlineStr">
        <is>
          <t>Teori financiare 8 ECTS; Menaxhim financiar 6 ECTS; Metoda kërkimi në financë 12 ECTS dhe Praktikë/internship 12 ECTS (vjetore, sem. 1-2); lëndë sipas profilit: Kontabilitet bankar (Banka dhe tregje financiare), Auditimi financiar (Kontabilitet &amp; raportim financiar; Auditim dhe menaxhim risku). Duhet të shënojë që lëndët e profilit varen nga specializimi dhe të mos i dublikojë</t>
        </is>
      </c>
      <c r="F205" s="25" t="n">
        <v>4</v>
      </c>
      <c r="G205" s="25" t="inlineStr">
        <is>
          <t>Në semestrin e parë të vitit të parë, në programin Master i Shkencave në Financë, ke këto lëndë:
1. Metoda kërkimi në financë - 12 ECTS
2. Ekonomiksi monetar dhe Banka Qendrore - 10 ECTS
3. Ekonomiksi i integrimit në BE - 6 ECTS
4. Teori financiare - 8 ECTS
5. Menaxhim financiar - 6 ECTS
6. Praktikë / internship - 12 ECTS (Burimi: Master i Shkencave në Financë, f. 4).</t>
        </is>
      </c>
      <c r="H205" s="25" t="inlineStr">
        <is>
          <t>MSH-Finance-AL.pdf (f. 4, 2, 1, 3)</t>
        </is>
      </c>
      <c r="I205" s="25" t="n">
        <v>4.69</v>
      </c>
      <c r="J205" s="26" t="inlineStr">
        <is>
          <t>Pjesërisht e saktë</t>
        </is>
      </c>
      <c r="K205" s="26" t="inlineStr">
        <is>
          <t>jo</t>
        </is>
      </c>
      <c r="L205" s="25" t="inlineStr">
        <is>
          <t>Përmban katër lëndët e pritura (Teori financiare, Menaxhim financiar, Metoda kërkimi, Praktikë) por i paraqet si 'semestri i parë', shton Ekonomiksi monetar dhe Ekonomiksi i integrimit në BE, nuk përmend lëndët e profileve dhe nuk thotë se ato varen nga specializimi. Totali 54 ECTS del nga mbledhja e lëndëve të listuara.</t>
        </is>
      </c>
    </row>
    <row r="206" ht="113.4" customHeight="1" s="19">
      <c r="A206" s="25" t="n">
        <v>41</v>
      </c>
      <c r="B206" s="25" t="inlineStr">
        <is>
          <t>D</t>
        </is>
      </c>
      <c r="C206" s="25" t="inlineStr">
        <is>
          <t>po</t>
        </is>
      </c>
      <c r="D206" s="25" t="inlineStr">
        <is>
          <t>Çfarë lëndësh kam këtë semestër?</t>
        </is>
      </c>
      <c r="E206" s="25" t="inlineStr">
        <is>
          <t>Teori financiare 8 ECTS; Menaxhim financiar 6 ECTS; Metoda kërkimi në financë 12 ECTS dhe Praktikë/internship 12 ECTS (vjetore, sem. 1-2); lëndë sipas profilit: Kontabilitet bankar (Banka dhe tregje financiare), Auditimi financiar (Kontabilitet &amp; raportim financiar; Auditim dhe menaxhim risku). Duhet të shënojë që lëndët e profilit varen nga specializimi dhe të mos i dublikojë</t>
        </is>
      </c>
      <c r="F206" s="25" t="n">
        <v>5</v>
      </c>
      <c r="G206" s="25" t="inlineStr">
        <is>
          <t>Në semestrin e parë të vitit të parë, ke këto lëndë:
1. Metoda kërkimi në financë - 12 ECTS
2. Ekonomiksi monetar dhe Banka Qendrore - 10 ECTS
3. Ekonomiksi i integrimit në BE - 6 ECTS
4. Teori financiare - 8 ECTS
5. Menaxhim financiar - 6 ECTS
6. Praktikë / internship - 12 ECTS
Në total, ke 54 ECTS për këtë semestër. (Master i Shkencave në Financë, f. 4)</t>
        </is>
      </c>
      <c r="H206" s="25" t="inlineStr">
        <is>
          <t>MSH-Finance-AL.pdf (f. 4, 2, 1, 3)</t>
        </is>
      </c>
      <c r="I206" s="25" t="n">
        <v>3.9</v>
      </c>
      <c r="J206" s="26" t="inlineStr">
        <is>
          <t>Pjesërisht e saktë</t>
        </is>
      </c>
      <c r="K206" s="26" t="inlineStr">
        <is>
          <t>jo</t>
        </is>
      </c>
      <c r="L206" s="25" t="inlineStr">
        <is>
          <t>Përmban katër lëndët e pritura (Teori financiare, Menaxhim financiar, Metoda kërkimi, Praktikë) por i paraqet si 'semestri i parë', shton Ekonomiksi monetar dhe Ekonomiksi i integrimit në BE, nuk përmend lëndët e profileve dhe nuk thotë se ato varen nga specializimi. Totali 54 ECTS del nga mbledhja e lëndëve të listuara.</t>
        </is>
      </c>
    </row>
    <row r="207" ht="23.85" customHeight="1" s="19">
      <c r="A207" s="23" t="n">
        <v>42</v>
      </c>
      <c r="B207" s="23" t="inlineStr">
        <is>
          <t>D</t>
        </is>
      </c>
      <c r="C207" s="23" t="inlineStr">
        <is>
          <t>po</t>
        </is>
      </c>
      <c r="D207" s="23" t="inlineStr">
        <is>
          <t>Sa ECTS ka Zhvillim Webi dhe në cilin semestër jepet?</t>
        </is>
      </c>
      <c r="E207" s="23" t="inlineStr">
        <is>
          <t>10 ECTS; viti II; semestri 2</t>
        </is>
      </c>
      <c r="F207" s="23" t="n">
        <v>1</v>
      </c>
      <c r="G207" s="23" t="inlineStr">
        <is>
          <t>(Teksti i përgjigjes së ekzekutimit origjinal nuk është i disponueshëm – vlerësimi është marrë nga Shtojca A.)</t>
        </is>
      </c>
      <c r="H207" s="23" t="n"/>
      <c r="I207" s="23" t="n">
        <v>4.83</v>
      </c>
      <c r="J207" s="24" t="inlineStr">
        <is>
          <t>E saktë</t>
        </is>
      </c>
      <c r="K207" s="24" t="inlineStr">
        <is>
          <t>jo</t>
        </is>
      </c>
      <c r="L207" s="23" t="n"/>
    </row>
    <row r="208" ht="91" customHeight="1" s="19">
      <c r="A208" s="25" t="n">
        <v>42</v>
      </c>
      <c r="B208" s="25" t="inlineStr">
        <is>
          <t>D</t>
        </is>
      </c>
      <c r="C208" s="25" t="inlineStr">
        <is>
          <t>po</t>
        </is>
      </c>
      <c r="D208" s="25" t="inlineStr">
        <is>
          <t>Sa ECTS ka Zhvillim Webi dhe në cilin semestër jepet?</t>
        </is>
      </c>
      <c r="E208" s="25" t="inlineStr">
        <is>
          <t>10 ECTS; viti II; semestri 2</t>
        </is>
      </c>
      <c r="F208" s="25" t="n">
        <v>2</v>
      </c>
      <c r="G208" s="25" t="inlineStr">
        <is>
          <t>Lënda "Zhvillim Webi: aplikime dhe programim" ka 10 ECTS dhe jepet në vitin 2, semestrin 2 (Burimi: Master i Shkencave në Teknologji Informacioni, f. 1). 
Përshkrimi, temat dhe objektivat e të nxënit nuk janë të disponueshme në burimet e ngarkuara.
## Burimet
- Burimi: Master i Shkencave në Teknologji Informacioni, faqja 1</t>
        </is>
      </c>
      <c r="H208" s="25" t="inlineStr">
        <is>
          <t>MSc_-Teknologji-Informacioni.pdf (f. 1)</t>
        </is>
      </c>
      <c r="I208" s="25" t="n">
        <v>5.47</v>
      </c>
      <c r="J208" s="26" t="inlineStr">
        <is>
          <t>E saktë</t>
        </is>
      </c>
      <c r="K208" s="26" t="inlineStr">
        <is>
          <t>jo</t>
        </is>
      </c>
      <c r="L208" s="25" t="n"/>
    </row>
    <row r="209" ht="91" customHeight="1" s="19">
      <c r="A209" s="25" t="n">
        <v>42</v>
      </c>
      <c r="B209" s="25" t="inlineStr">
        <is>
          <t>D</t>
        </is>
      </c>
      <c r="C209" s="25" t="inlineStr">
        <is>
          <t>po</t>
        </is>
      </c>
      <c r="D209" s="25" t="inlineStr">
        <is>
          <t>Sa ECTS ka Zhvillim Webi dhe në cilin semestër jepet?</t>
        </is>
      </c>
      <c r="E209" s="25" t="inlineStr">
        <is>
          <t>10 ECTS; viti II; semestri 2</t>
        </is>
      </c>
      <c r="F209" s="25" t="n">
        <v>3</v>
      </c>
      <c r="G209" s="25" t="inlineStr">
        <is>
          <t>Lënda "Zhvillim Webi: aplikime dhe programim" ka 10 ECTS dhe jepet në vitin 2, semestrin 2 (Burimi: Master i Shkencave në Teknologji Informacioni, f. 1). 
Përshkrimi, temat dhe objektivat e të nxënit nuk janë të disponueshme në burimet e ngarkuara.
## Burimet
- Burimi: Master i Shkencave në Teknologji Informacioni, faqja 1</t>
        </is>
      </c>
      <c r="H209" s="25" t="inlineStr">
        <is>
          <t>MSc_-Teknologji-Informacioni.pdf (f. 1)</t>
        </is>
      </c>
      <c r="I209" s="25" t="n">
        <v>4.55</v>
      </c>
      <c r="J209" s="26" t="inlineStr">
        <is>
          <t>E saktë</t>
        </is>
      </c>
      <c r="K209" s="26" t="inlineStr">
        <is>
          <t>jo</t>
        </is>
      </c>
      <c r="L209" s="25" t="n"/>
    </row>
    <row r="210" ht="91" customHeight="1" s="19">
      <c r="A210" s="25" t="n">
        <v>42</v>
      </c>
      <c r="B210" s="25" t="inlineStr">
        <is>
          <t>D</t>
        </is>
      </c>
      <c r="C210" s="25" t="inlineStr">
        <is>
          <t>po</t>
        </is>
      </c>
      <c r="D210" s="25" t="inlineStr">
        <is>
          <t>Sa ECTS ka Zhvillim Webi dhe në cilin semestër jepet?</t>
        </is>
      </c>
      <c r="E210" s="25" t="inlineStr">
        <is>
          <t>10 ECTS; viti II; semestri 2</t>
        </is>
      </c>
      <c r="F210" s="25" t="n">
        <v>4</v>
      </c>
      <c r="G210" s="25" t="inlineStr">
        <is>
          <t>Lënda "Zhvillim Webi: aplikime dhe programim" ka 10 ECTS dhe jepet në vitin 2, semestrin 2 (Burimi: Master i Shkencave në Teknologji Informacioni, f. 1). 
Përshkrimi, temat dhe objektivat e të nxënit nuk janë të disponueshme në burimet e ngarkuara.
## Burimet
- Burimi: Master i Shkencave në Teknologji Informacioni, faqja 1</t>
        </is>
      </c>
      <c r="H210" s="25" t="inlineStr">
        <is>
          <t>MSc_-Teknologji-Informacioni.pdf (f. 1)</t>
        </is>
      </c>
      <c r="I210" s="25" t="n">
        <v>4.3</v>
      </c>
      <c r="J210" s="26" t="inlineStr">
        <is>
          <t>E saktë</t>
        </is>
      </c>
      <c r="K210" s="26" t="inlineStr">
        <is>
          <t>jo</t>
        </is>
      </c>
      <c r="L210" s="25" t="n"/>
    </row>
    <row r="211" ht="102.2" customHeight="1" s="19">
      <c r="A211" s="25" t="n">
        <v>42</v>
      </c>
      <c r="B211" s="25" t="inlineStr">
        <is>
          <t>D</t>
        </is>
      </c>
      <c r="C211" s="25" t="inlineStr">
        <is>
          <t>po</t>
        </is>
      </c>
      <c r="D211" s="25" t="inlineStr">
        <is>
          <t>Sa ECTS ka Zhvillim Webi dhe në cilin semestër jepet?</t>
        </is>
      </c>
      <c r="E211" s="25" t="inlineStr">
        <is>
          <t>10 ECTS; viti II; semestri 2</t>
        </is>
      </c>
      <c r="F211" s="25" t="n">
        <v>5</v>
      </c>
      <c r="G211" s="25" t="inlineStr">
        <is>
          <t>Lënda "Zhvillim Webi: aplikime dhe programim" ka 10 ECTS dhe jepet në vitin 2, semestrin 2. Kjo është një lëndë karakterizuese për programin Master i Shkencave në Teknologji Informacioni (Burimi: Master i Shkencave në Teknologji Informacioni, f. 1). 
Përshkrimi, temat dhe objektivat e të nxënit nuk janë të disponueshme në burimet e ngarkuara.
## Burimet
- Burimi: Master i Shkencave në Teknologji Informacioni, faqja 1</t>
        </is>
      </c>
      <c r="H211" s="25" t="inlineStr">
        <is>
          <t>MSc_-Teknologji-Informacioni.pdf (f. 1)</t>
        </is>
      </c>
      <c r="I211" s="25" t="n">
        <v>4.76</v>
      </c>
      <c r="J211" s="26" t="inlineStr">
        <is>
          <t>E saktë</t>
        </is>
      </c>
      <c r="K211" s="26" t="inlineStr">
        <is>
          <t>jo</t>
        </is>
      </c>
      <c r="L211" s="25" t="n"/>
    </row>
    <row r="212" ht="35.05" customHeight="1" s="19">
      <c r="A212" s="23" t="n">
        <v>43</v>
      </c>
      <c r="B212" s="23" t="inlineStr">
        <is>
          <t>D</t>
        </is>
      </c>
      <c r="C212" s="23" t="inlineStr">
        <is>
          <t>po</t>
        </is>
      </c>
      <c r="D212" s="23" t="inlineStr">
        <is>
          <t>A kam ndonjë lëndë për Big Data në programin tim?</t>
        </is>
      </c>
      <c r="E212" s="23" t="inlineStr">
        <is>
          <t>Menaxhim në Big Data (6 ECTS, viti II, sem. 2) është vetëm te profili Zhvillim Softweresh, jo te IT e biznesit</t>
        </is>
      </c>
      <c r="F212" s="23" t="n">
        <v>1</v>
      </c>
      <c r="G212" s="23" t="inlineStr">
        <is>
          <t>(Teksti i përgjigjes së ekzekutimit origjinal nuk është i disponueshëm – vlerësimi është marrë nga Shtojca A.)</t>
        </is>
      </c>
      <c r="H212" s="23" t="n"/>
      <c r="I212" s="23" t="n">
        <v>5.06</v>
      </c>
      <c r="J212" s="24" t="inlineStr">
        <is>
          <t>Pjesërisht e saktë</t>
        </is>
      </c>
      <c r="K212" s="24" t="inlineStr">
        <is>
          <t>jo</t>
        </is>
      </c>
      <c r="L212" s="23" t="n"/>
    </row>
    <row r="213" ht="236.55" customHeight="1" s="19">
      <c r="A213" s="25" t="n">
        <v>43</v>
      </c>
      <c r="B213" s="25" t="inlineStr">
        <is>
          <t>D</t>
        </is>
      </c>
      <c r="C213" s="25" t="inlineStr">
        <is>
          <t>po</t>
        </is>
      </c>
      <c r="D213" s="25" t="inlineStr">
        <is>
          <t>A kam ndonjë lëndë për Big Data në programin tim?</t>
        </is>
      </c>
      <c r="E213" s="25" t="inlineStr">
        <is>
          <t>Menaxhim në Big Data (6 ECTS, viti II, sem. 2) është vetëm te profili Zhvillim Softweresh, jo te IT e biznesit</t>
        </is>
      </c>
      <c r="F213" s="25" t="n">
        <v>2</v>
      </c>
      <c r="G213" s="25" t="inlineStr">
        <is>
          <t>Nuk e gjej këtë informacion në burimet e disponueshme. 
Në planin mësimor të semestrit aktual për Masterin e Shkencave në Teknologji Informacioni, viti 2, semestri 2, lëndët e karakterizuara janë:
1. Kontrolli dhe auditimi i sigurisë në rrjetat kompjuterike - 6 ECTS
2. Zhvillim Webi: aplikime dhe programim - 10 ECTS
Lëndë ndërdisiplinore ose integruese:
3. Menaxhimi i inovacionit - 6 ECTS (specializimi: IT e biznesit)
Detyrime përmbyllëse:
4. Punimi i diplomës - 18 ECTS
Lëndët e shënuara 'me zgjedhje ose sipas profilit' nuk janë të gjitha të detyrueshme. Nëse ke nevojë për informacione të tjera, të lutem më njofto!
## Burimet
- Burimi: Master i Shkencave në Teknologji Informacioni, faqja 1</t>
        </is>
      </c>
      <c r="H213" s="25" t="inlineStr">
        <is>
          <t>MSc_-Teknologji-Informacioni.pdf (f. 1)</t>
        </is>
      </c>
      <c r="I213" s="25" t="n">
        <v>5.39</v>
      </c>
      <c r="J213" s="26" t="inlineStr">
        <is>
          <t>Pjesërisht e saktë</t>
        </is>
      </c>
      <c r="K213" s="26" t="inlineStr">
        <is>
          <t>jo</t>
        </is>
      </c>
      <c r="L213" s="25" t="inlineStr">
        <is>
          <t>Fillon me 'nuk e gjej' (e saktë për profilin IT e biznesit), por nuk thotë që Menaxhim në Big Data ekziston te profili Zhvillim Softweresh; pastaj liston lëndët e semestrit pa lidhje me pyetjen.</t>
        </is>
      </c>
    </row>
    <row r="214" ht="225.35" customHeight="1" s="19">
      <c r="A214" s="25" t="n">
        <v>43</v>
      </c>
      <c r="B214" s="25" t="inlineStr">
        <is>
          <t>D</t>
        </is>
      </c>
      <c r="C214" s="25" t="inlineStr">
        <is>
          <t>po</t>
        </is>
      </c>
      <c r="D214" s="25" t="inlineStr">
        <is>
          <t>A kam ndonjë lëndë për Big Data në programin tim?</t>
        </is>
      </c>
      <c r="E214" s="25" t="inlineStr">
        <is>
          <t>Menaxhim në Big Data (6 ECTS, viti II, sem. 2) është vetëm te profili Zhvillim Softweresh, jo te IT e biznesit</t>
        </is>
      </c>
      <c r="F214" s="25" t="n">
        <v>3</v>
      </c>
      <c r="G214" s="25" t="inlineStr">
        <is>
          <t>Nuk e gjej këtë informacion në burimet e disponueshme. 
Sipas planit mësimor të semestrit aktual për Masterin e Shkencave në Teknologji Informacioni, viti 2, semestri 2, lëndët janë si më poshtë:
### Lëndë karakterizuese:
1. **Kontrolli dhe auditimi i sigurisë në rrjetat kompjuterike** - 6 ECTS
2. **Zhvillim Webi: aplikime dhe programim** - 10 ECTS
### Lëndë ndërdisiplinore ose integruese:
3. **Menaxhimi i inovacionit** - 6 ECTS (specializimi: IT e biznesit)
### Detyrime përmbyllëse:
4. **Punimi i diplomës** - 18 ECTS
Lëndët e shënuara 'me zgjedhje ose sipas profilit' nuk janë të gjitha të detyrueshme. Nëse ke pyetje të tjera ose nevojë për informacion shtesë, jam këtu për të ndihmuar!
## Burimet
- Burimi: Master i Shkencave në Teknologji Informacioni, faqja 1</t>
        </is>
      </c>
      <c r="H214" s="25" t="inlineStr">
        <is>
          <t>MSc_-Teknologji-Informacioni.pdf (f. 1)</t>
        </is>
      </c>
      <c r="I214" s="25" t="n">
        <v>4.7</v>
      </c>
      <c r="J214" s="26" t="inlineStr">
        <is>
          <t>Pjesërisht e saktë</t>
        </is>
      </c>
      <c r="K214" s="26" t="inlineStr">
        <is>
          <t>jo</t>
        </is>
      </c>
      <c r="L214" s="25" t="inlineStr">
        <is>
          <t>Fillon me 'nuk e gjej' (e saktë për profilin IT e biznesit), por nuk thotë që Menaxhim në Big Data ekziston te profili Zhvillim Softweresh; pastaj liston lëndët e semestrit pa lidhje me pyetjen.</t>
        </is>
      </c>
    </row>
    <row r="215" ht="236.55" customHeight="1" s="19">
      <c r="A215" s="25" t="n">
        <v>43</v>
      </c>
      <c r="B215" s="25" t="inlineStr">
        <is>
          <t>D</t>
        </is>
      </c>
      <c r="C215" s="25" t="inlineStr">
        <is>
          <t>po</t>
        </is>
      </c>
      <c r="D215" s="25" t="inlineStr">
        <is>
          <t>A kam ndonjë lëndë për Big Data në programin tim?</t>
        </is>
      </c>
      <c r="E215" s="25" t="inlineStr">
        <is>
          <t>Menaxhim në Big Data (6 ECTS, viti II, sem. 2) është vetëm te profili Zhvillim Softweresh, jo te IT e biznesit</t>
        </is>
      </c>
      <c r="F215" s="25" t="n">
        <v>4</v>
      </c>
      <c r="G215" s="25" t="inlineStr">
        <is>
          <t>Nuk e gjej këtë informacion në burimet e disponueshme. 
Sipas planit mësimor të semestrit aktual për Masterin e Shkencave në Teknologji Informacioni, viti 2, semestri 2, lëndët janë si më poshtë:
### Lëndë karakterizuese:
1. **Kontrolli dhe auditimi i sigurisë në rrjetat kompjuterike** - 6 ECTS
2. **Zhvillim Webi: aplikime dhe programim** - 10 ECTS
### Lëndë ndërdisiplinore ose integruese:
3. **Menaxhimi i inovacionit** - 6 ECTS (specializimi: IT e biznesit)
### Detyrime përmbyllëse:
4. **Punimi i diplomës** - 18 ECTS
Lëndët e shënuara 'me zgjedhje ose sipas profilit' nuk janë të gjitha të detyrueshme. Nëse ke nevojë për informacione të tjera ose për lëndë specifike, mund të konsultohesh me profesorët e lëndëve ose me administratën e programit.
## Burimet
- Burimi: Master i Shkencave në Teknologji Informacioni, faqja 1</t>
        </is>
      </c>
      <c r="H215" s="25" t="inlineStr">
        <is>
          <t>MSc_-Teknologji-Informacioni.pdf (f. 1)</t>
        </is>
      </c>
      <c r="I215" s="25" t="n">
        <v>7.53</v>
      </c>
      <c r="J215" s="26" t="inlineStr">
        <is>
          <t>Pjesërisht e saktë</t>
        </is>
      </c>
      <c r="K215" s="26" t="inlineStr">
        <is>
          <t>jo</t>
        </is>
      </c>
      <c r="L215" s="25" t="inlineStr">
        <is>
          <t>Fillon me 'nuk e gjej' (e saktë për profilin IT e biznesit), por nuk thotë që Menaxhim në Big Data ekziston te profili Zhvillim Softweresh; pastaj liston lëndët e semestrit pa lidhje me pyetjen.</t>
        </is>
      </c>
    </row>
    <row r="216" ht="247.75" customHeight="1" s="19">
      <c r="A216" s="25" t="n">
        <v>43</v>
      </c>
      <c r="B216" s="25" t="inlineStr">
        <is>
          <t>D</t>
        </is>
      </c>
      <c r="C216" s="25" t="inlineStr">
        <is>
          <t>po</t>
        </is>
      </c>
      <c r="D216" s="25" t="inlineStr">
        <is>
          <t>A kam ndonjë lëndë për Big Data në programin tim?</t>
        </is>
      </c>
      <c r="E216" s="25" t="inlineStr">
        <is>
          <t>Menaxhim në Big Data (6 ECTS, viti II, sem. 2) është vetëm te profili Zhvillim Softweresh, jo te IT e biznesit</t>
        </is>
      </c>
      <c r="F216" s="25" t="n">
        <v>5</v>
      </c>
      <c r="G216" s="25" t="inlineStr">
        <is>
          <t>Nuk e gjej këtë informacion në burimet e disponueshme. 
Sipas planit mësimor të semestrit aktual për Masterin e Shkencave në Teknologji Informacioni, viti 2, semestri 2, lëndët e karakterizuara janë:
1. Kontrolli dhe auditimi i sigurisë në rrjetat kompjuterike - 6 ECTS
2. Zhvillim Webi: aplikime dhe programim - 10 ECTS
Lëndë ndërdisiplinore ose integruese:
3. Menaxhimi i inovacionit - 6 ECTS (specializimi: IT e biznesit)
Detyrime përmbyllëse:
4. Punimi i diplomës - 18 ECTS
Lëndët e shënuara 'me zgjedhje ose sipas profilit' nuk janë të gjitha të detyrueshme. Nëse ke nevojë për informacione të tjera, mund të konsultohesh me profesorët ose këshilltarët akademikë.
## Burimet
- Burimi: Master i Shkencave në Teknologji Informacioni, faqja 1</t>
        </is>
      </c>
      <c r="H216" s="25" t="inlineStr">
        <is>
          <t>MSc_-Teknologji-Informacioni.pdf (f. 1)</t>
        </is>
      </c>
      <c r="I216" s="25" t="n">
        <v>6.06</v>
      </c>
      <c r="J216" s="26" t="inlineStr">
        <is>
          <t>Pjesërisht e saktë</t>
        </is>
      </c>
      <c r="K216" s="26" t="inlineStr">
        <is>
          <t>jo</t>
        </is>
      </c>
      <c r="L216" s="25" t="inlineStr">
        <is>
          <t>Fillon me 'nuk e gjej' (e saktë për profilin IT e biznesit), por nuk thotë që Menaxhim në Big Data ekziston te profili Zhvillim Softweresh; pastaj liston lëndët e semestrit pa lidhje me pyetjen.</t>
        </is>
      </c>
    </row>
    <row r="217" ht="57.45" customHeight="1" s="19">
      <c r="A217" s="23" t="n">
        <v>44</v>
      </c>
      <c r="B217" s="23" t="inlineStr">
        <is>
          <t>B</t>
        </is>
      </c>
      <c r="C217" s="23" t="inlineStr">
        <is>
          <t>jo</t>
        </is>
      </c>
      <c r="D217" s="23" t="inlineStr">
        <is>
          <t>Cilat janë mundësitë e punësimit pas programit tim?</t>
        </is>
      </c>
      <c r="E217" s="23" t="inlineStr">
        <is>
          <t>Dokumenti i MSc Teknologji Informacioni përmban vetëm planin mësimor, pa mundësi punësimi; duhet ta thotë hapur dhe të mos marrë informacion nga programe të tjera</t>
        </is>
      </c>
      <c r="F217" s="23" t="n">
        <v>1</v>
      </c>
      <c r="G217" s="23" t="inlineStr">
        <is>
          <t>(Teksti i përgjigjes së ekzekutimit origjinal nuk është i disponueshëm – vlerësimi është marrë nga Shtojca A.)</t>
        </is>
      </c>
      <c r="H217" s="23" t="n"/>
      <c r="I217" s="23" t="n">
        <v>4.04</v>
      </c>
      <c r="J217" s="24" t="inlineStr">
        <is>
          <t>E pasaktë</t>
        </is>
      </c>
      <c r="K217" s="24" t="inlineStr">
        <is>
          <t>po</t>
        </is>
      </c>
      <c r="L217" s="23" t="n"/>
    </row>
    <row r="218" ht="57.45" customHeight="1" s="19">
      <c r="A218" s="25" t="n">
        <v>44</v>
      </c>
      <c r="B218" s="25" t="inlineStr">
        <is>
          <t>B</t>
        </is>
      </c>
      <c r="C218" s="25" t="inlineStr">
        <is>
          <t>jo</t>
        </is>
      </c>
      <c r="D218" s="25" t="inlineStr">
        <is>
          <t>Cilat janë mundësitë e punësimit pas programit tim?</t>
        </is>
      </c>
      <c r="E218" s="25" t="inlineStr">
        <is>
          <t>Dokumenti i MSc Teknologji Informacioni përmban vetëm planin mësimor, pa mundësi punësimi; duhet ta thotë hapur dhe të mos marrë informacion nga programe të tjera</t>
        </is>
      </c>
      <c r="F218" s="25" t="n">
        <v>2</v>
      </c>
      <c r="G218" s="25" t="inlineStr">
        <is>
          <t>Nuk e gjej këtë informacion në dokumentet e disponueshme. Të këshilloj të kontaktosh administratën e UET-së për detaje rreth mundësive të punësimit pas përfundimit të Masterit të Shkencave në Teknologji Informacioni.</t>
        </is>
      </c>
      <c r="H218" s="25" t="inlineStr">
        <is>
          <t>MSc_-Teknologji-Informacioni.pdf (f. 1)</t>
        </is>
      </c>
      <c r="I218" s="25" t="n">
        <v>5.5</v>
      </c>
      <c r="J218" s="26" t="inlineStr">
        <is>
          <t>E saktë</t>
        </is>
      </c>
      <c r="K218" s="26" t="inlineStr">
        <is>
          <t>jo</t>
        </is>
      </c>
      <c r="L218" s="25" t="n"/>
    </row>
    <row r="219" ht="57.45" customHeight="1" s="19">
      <c r="A219" s="25" t="n">
        <v>44</v>
      </c>
      <c r="B219" s="25" t="inlineStr">
        <is>
          <t>B</t>
        </is>
      </c>
      <c r="C219" s="25" t="inlineStr">
        <is>
          <t>jo</t>
        </is>
      </c>
      <c r="D219" s="25" t="inlineStr">
        <is>
          <t>Cilat janë mundësitë e punësimit pas programit tim?</t>
        </is>
      </c>
      <c r="E219" s="25" t="inlineStr">
        <is>
          <t>Dokumenti i MSc Teknologji Informacioni përmban vetëm planin mësimor, pa mundësi punësimi; duhet ta thotë hapur dhe të mos marrë informacion nga programe të tjera</t>
        </is>
      </c>
      <c r="F219" s="25" t="n">
        <v>3</v>
      </c>
      <c r="G219" s="25" t="inlineStr">
        <is>
          <t>Nuk e gjej këtë informacion në dokumentet e disponueshme. Të këshilloj të kontaktosh administratën e UET-së për detaje mbi mundësitë e punësimit pas përfundimit të Masterit të Shkencave në Teknologji Informacioni.</t>
        </is>
      </c>
      <c r="H219" s="25" t="inlineStr">
        <is>
          <t>MSc_-Teknologji-Informacioni.pdf (f. 1)</t>
        </is>
      </c>
      <c r="I219" s="25" t="n">
        <v>3.54</v>
      </c>
      <c r="J219" s="26" t="inlineStr">
        <is>
          <t>E saktë</t>
        </is>
      </c>
      <c r="K219" s="26" t="inlineStr">
        <is>
          <t>jo</t>
        </is>
      </c>
      <c r="L219" s="25" t="n"/>
    </row>
    <row r="220" ht="57.45" customHeight="1" s="19">
      <c r="A220" s="25" t="n">
        <v>44</v>
      </c>
      <c r="B220" s="25" t="inlineStr">
        <is>
          <t>B</t>
        </is>
      </c>
      <c r="C220" s="25" t="inlineStr">
        <is>
          <t>jo</t>
        </is>
      </c>
      <c r="D220" s="25" t="inlineStr">
        <is>
          <t>Cilat janë mundësitë e punësimit pas programit tim?</t>
        </is>
      </c>
      <c r="E220" s="25" t="inlineStr">
        <is>
          <t>Dokumenti i MSc Teknologji Informacioni përmban vetëm planin mësimor, pa mundësi punësimi; duhet ta thotë hapur dhe të mos marrë informacion nga programe të tjera</t>
        </is>
      </c>
      <c r="F220" s="25" t="n">
        <v>4</v>
      </c>
      <c r="G220" s="25" t="inlineStr">
        <is>
          <t>Nuk e gjej këtë informacion në dokumentet e disponueshme. Të rekomandoj të kontaktosh administratën e UET-së për detaje mbi mundësitë e punësimit pas përfundimit të Masterit në Teknologji Informacioni.</t>
        </is>
      </c>
      <c r="H220" s="25" t="inlineStr">
        <is>
          <t>MSc_-Teknologji-Informacioni.pdf (f. 1)</t>
        </is>
      </c>
      <c r="I220" s="25" t="n">
        <v>3.85</v>
      </c>
      <c r="J220" s="26" t="inlineStr">
        <is>
          <t>E saktë</t>
        </is>
      </c>
      <c r="K220" s="26" t="inlineStr">
        <is>
          <t>jo</t>
        </is>
      </c>
      <c r="L220" s="25" t="n"/>
    </row>
    <row r="221" ht="57.45" customHeight="1" s="19">
      <c r="A221" s="25" t="n">
        <v>44</v>
      </c>
      <c r="B221" s="25" t="inlineStr">
        <is>
          <t>B</t>
        </is>
      </c>
      <c r="C221" s="25" t="inlineStr">
        <is>
          <t>jo</t>
        </is>
      </c>
      <c r="D221" s="25" t="inlineStr">
        <is>
          <t>Cilat janë mundësitë e punësimit pas programit tim?</t>
        </is>
      </c>
      <c r="E221" s="25" t="inlineStr">
        <is>
          <t>Dokumenti i MSc Teknologji Informacioni përmban vetëm planin mësimor, pa mundësi punësimi; duhet ta thotë hapur dhe të mos marrë informacion nga programe të tjera</t>
        </is>
      </c>
      <c r="F221" s="25" t="n">
        <v>5</v>
      </c>
      <c r="G221" s="25" t="inlineStr">
        <is>
          <t>Nuk e gjej këtë informacion në dokumentet e disponueshme. Të rekomandoj të kontaktoni administratën e UET-së për detaje mbi mundësitë e punësimit pas përfundimit të Masterit në Teknologji Informacioni.</t>
        </is>
      </c>
      <c r="H221" s="25" t="inlineStr">
        <is>
          <t>MSc_-Teknologji-Informacioni.pdf (f. 1)</t>
        </is>
      </c>
      <c r="I221" s="25" t="n">
        <v>3.5</v>
      </c>
      <c r="J221" s="26" t="inlineStr">
        <is>
          <t>E saktë</t>
        </is>
      </c>
      <c r="K221" s="26" t="inlineStr">
        <is>
          <t>jo</t>
        </is>
      </c>
      <c r="L221" s="25" t="n"/>
    </row>
    <row r="222" ht="23.85" customHeight="1" s="19">
      <c r="A222" s="23" t="n">
        <v>45</v>
      </c>
      <c r="B222" s="23" t="inlineStr">
        <is>
          <t>B</t>
        </is>
      </c>
      <c r="C222" s="23" t="inlineStr">
        <is>
          <t>jo</t>
        </is>
      </c>
      <c r="D222" s="23" t="inlineStr">
        <is>
          <t>Kur është provimi i lëndës Zhvillim Webi?</t>
        </is>
      </c>
      <c r="E222" s="23" t="inlineStr">
        <is>
          <t>Nuk ka përgjigje në dokumente</t>
        </is>
      </c>
      <c r="F222" s="23" t="n">
        <v>1</v>
      </c>
      <c r="G222" s="23" t="inlineStr">
        <is>
          <t>(Teksti i përgjigjes së ekzekutimit origjinal nuk është i disponueshëm – vlerësimi është marrë nga Shtojca A.)</t>
        </is>
      </c>
      <c r="H222" s="23" t="n"/>
      <c r="I222" s="23" t="n">
        <v>4.5</v>
      </c>
      <c r="J222" s="24" t="inlineStr">
        <is>
          <t>E saktë</t>
        </is>
      </c>
      <c r="K222" s="24" t="inlineStr">
        <is>
          <t>jo</t>
        </is>
      </c>
      <c r="L222" s="23" t="n"/>
    </row>
    <row r="223" ht="135.8" customHeight="1" s="19">
      <c r="A223" s="25" t="n">
        <v>45</v>
      </c>
      <c r="B223" s="25" t="inlineStr">
        <is>
          <t>B</t>
        </is>
      </c>
      <c r="C223" s="25" t="inlineStr">
        <is>
          <t>jo</t>
        </is>
      </c>
      <c r="D223" s="25" t="inlineStr">
        <is>
          <t>Kur është provimi i lëndës Zhvillim Webi?</t>
        </is>
      </c>
      <c r="E223" s="25" t="inlineStr">
        <is>
          <t>Nuk ka përgjigje në dokumente</t>
        </is>
      </c>
      <c r="F223" s="25" t="n">
        <v>2</v>
      </c>
      <c r="G223" s="25" t="inlineStr">
        <is>
          <t>Lënda "Zhvillim Webi: aplikime dhe programim" ka 10 ECTS, është në vitin 2 dhe në semestrin 2. Kjo lëndë është karakterizuese për programin Master i Shkencave në Teknologji Informacioni (Burimi: Master i Shkencave në Teknologji Informacioni, f. 1).
Përshkrimi, temat dhe objektivat e të nxënit nuk janë të disponueshme në burimet e ngarkuara.
Nuk e gjej këtë informacion në burimet e disponueshme për datën e provimit të lëndës "Zhvillim Webi: aplikime dhe programim".
## Burimet
- Burimi: Master i Shkencave në Teknologji Informacioni, faqja 1</t>
        </is>
      </c>
      <c r="H223" s="25" t="inlineStr">
        <is>
          <t>MSc_-Teknologji-Informacioni.pdf (f. 1)</t>
        </is>
      </c>
      <c r="I223" s="25" t="n">
        <v>5.91</v>
      </c>
      <c r="J223" s="26" t="inlineStr">
        <is>
          <t>E saktë</t>
        </is>
      </c>
      <c r="K223" s="26" t="inlineStr">
        <is>
          <t>jo</t>
        </is>
      </c>
      <c r="L223" s="25" t="inlineStr">
        <is>
          <t>Refuzon saktë datën e provimit; shton të dhëna për lëndën që janë të sakta.</t>
        </is>
      </c>
    </row>
    <row r="224" ht="124.6" customHeight="1" s="19">
      <c r="A224" s="25" t="n">
        <v>45</v>
      </c>
      <c r="B224" s="25" t="inlineStr">
        <is>
          <t>B</t>
        </is>
      </c>
      <c r="C224" s="25" t="inlineStr">
        <is>
          <t>jo</t>
        </is>
      </c>
      <c r="D224" s="25" t="inlineStr">
        <is>
          <t>Kur është provimi i lëndës Zhvillim Webi?</t>
        </is>
      </c>
      <c r="E224" s="25" t="inlineStr">
        <is>
          <t>Nuk ka përgjigje në dokumente</t>
        </is>
      </c>
      <c r="F224" s="25" t="n">
        <v>3</v>
      </c>
      <c r="G224" s="25" t="inlineStr">
        <is>
          <t>Lënda "Zhvillim Webi: aplikime dhe programim" ka 10 ECTS, është në vitin 2, semestrin 2 dhe është një lëndë karakterizuese për programin Master i Shkencave në Teknologji Informacioni (Burimi: Master i Shkencave në Teknologji Informacioni, f. 1).
Përshkrimi, temat dhe objektivat e të nxënit nuk janë të disponueshme në burimet e ngarkuara.
Nuk e gjej këtë informacion në burimet e disponueshme.
## Burimet
- Burimi: Master i Shkencave në Teknologji Informacioni, faqja 1</t>
        </is>
      </c>
      <c r="H224" s="25" t="inlineStr">
        <is>
          <t>MSc_-Teknologji-Informacioni.pdf (f. 1)</t>
        </is>
      </c>
      <c r="I224" s="25" t="n">
        <v>5.03</v>
      </c>
      <c r="J224" s="26" t="inlineStr">
        <is>
          <t>E saktë</t>
        </is>
      </c>
      <c r="K224" s="26" t="inlineStr">
        <is>
          <t>jo</t>
        </is>
      </c>
      <c r="L224" s="25" t="inlineStr">
        <is>
          <t>Refuzon saktë datën e provimit; shton të dhëna për lëndën që janë të sakta.</t>
        </is>
      </c>
    </row>
    <row r="225" ht="180.55" customHeight="1" s="19">
      <c r="A225" s="25" t="n">
        <v>45</v>
      </c>
      <c r="B225" s="25" t="inlineStr">
        <is>
          <t>B</t>
        </is>
      </c>
      <c r="C225" s="25" t="inlineStr">
        <is>
          <t>jo</t>
        </is>
      </c>
      <c r="D225" s="25" t="inlineStr">
        <is>
          <t>Kur është provimi i lëndës Zhvillim Webi?</t>
        </is>
      </c>
      <c r="E225" s="25" t="inlineStr">
        <is>
          <t>Nuk ka përgjigje në dokumente</t>
        </is>
      </c>
      <c r="F225" s="25" t="n">
        <v>4</v>
      </c>
      <c r="G225" s="25" t="inlineStr">
        <is>
          <t>Lënda "Zhvillim Webi: aplikime dhe programim" ka këto karakteristika sipas faktëve zyrtare:
- **ECTS**: 10 ECTS
- **Viti**: 2
- **Semestri**: 2
- **Kategoria**: Lëndë karakterizuese
- **Specializimi**: Master i Shkencave në Teknologji Informacioni
Përshkrimi, temat dhe objektivat e të nxënit nuk janë të disponueshme në burimet e ngarkuara.
Sa i përket provimit të lëndës, nuk e gjej këtë informacion në burimet e disponueshme.
## Burimet
- Burimi: Master i Shkencave në Teknologji Informacioni</t>
        </is>
      </c>
      <c r="H225" s="25" t="inlineStr">
        <is>
          <t>MSc_-Teknologji-Informacioni.pdf</t>
        </is>
      </c>
      <c r="I225" s="25" t="n">
        <v>5.33</v>
      </c>
      <c r="J225" s="26" t="inlineStr">
        <is>
          <t>E saktë</t>
        </is>
      </c>
      <c r="K225" s="26" t="inlineStr">
        <is>
          <t>jo</t>
        </is>
      </c>
      <c r="L225" s="25" t="inlineStr">
        <is>
          <t>Refuzon saktë datën e provimit; shton të dhëna për lëndën që janë të sakta.</t>
        </is>
      </c>
    </row>
    <row r="226" ht="191.75" customHeight="1" s="19">
      <c r="A226" s="25" t="n">
        <v>45</v>
      </c>
      <c r="B226" s="25" t="inlineStr">
        <is>
          <t>B</t>
        </is>
      </c>
      <c r="C226" s="25" t="inlineStr">
        <is>
          <t>jo</t>
        </is>
      </c>
      <c r="D226" s="25" t="inlineStr">
        <is>
          <t>Kur është provimi i lëndës Zhvillim Webi?</t>
        </is>
      </c>
      <c r="E226" s="25" t="inlineStr">
        <is>
          <t>Nuk ka përgjigje në dokumente</t>
        </is>
      </c>
      <c r="F226" s="25" t="n">
        <v>5</v>
      </c>
      <c r="G226" s="25" t="inlineStr">
        <is>
          <t>Lënda "Zhvillim Webi: aplikime dhe programim" ka këto të dhëna zyrtare:
- **ECTS**: 10
- **Viti**: 2
- **Semestri**: 2
- **Kategoria**: Lëndë karakterizuese
- **Specializimi**: Master i Shkencave në Teknologji Informacioni (Burimi: Master i Shkencave në Teknologji Informacioni, f. 1)
Përshkrimi, temat dhe objektivat e të nxënit nuk janë të disponueshme në burimet e ngarkuara.
Sa i përket provimit të lëndës "Zhvillim Webi", nuk e gjej këtë informacion në burimet e disponueshme.
## Burimet
- Burimi: Master i Shkencave në Teknologji Informacioni, faqja 1</t>
        </is>
      </c>
      <c r="H226" s="25" t="inlineStr">
        <is>
          <t>MSc_-Teknologji-Informacioni.pdf (f. 1)</t>
        </is>
      </c>
      <c r="I226" s="25" t="n">
        <v>4.98</v>
      </c>
      <c r="J226" s="26" t="inlineStr">
        <is>
          <t>E saktë</t>
        </is>
      </c>
      <c r="K226" s="26" t="inlineStr">
        <is>
          <t>jo</t>
        </is>
      </c>
      <c r="L226" s="25" t="inlineStr">
        <is>
          <t>Refuzon saktë datën e provimit; shton të dhëna për lëndën që janë të sakta.</t>
        </is>
      </c>
    </row>
    <row r="227" ht="46.25" customHeight="1" s="19">
      <c r="A227" s="23" t="n">
        <v>46</v>
      </c>
      <c r="B227" s="23" t="inlineStr">
        <is>
          <t>D</t>
        </is>
      </c>
      <c r="C227" s="23" t="inlineStr">
        <is>
          <t>po</t>
        </is>
      </c>
      <c r="D227" s="23" t="inlineStr">
        <is>
          <t>Nëse do të ndryshoja drejtim, cili program tjetër i UET-it do të më përshtatej për financë?</t>
        </is>
      </c>
      <c r="E227" s="23" t="inlineStr">
        <is>
          <t>Aktivizohet rruga e rekomandimit; programe financë, p.sh. MSH Financë, MP Financë, MP TI e Aplikuar në Financë; me burime</t>
        </is>
      </c>
      <c r="F227" s="23" t="n">
        <v>1</v>
      </c>
      <c r="G227" s="23" t="inlineStr">
        <is>
          <t>(Teksti i përgjigjes së ekzekutimit origjinal nuk është i disponueshëm – vlerësimi është marrë nga Shtojca A.)</t>
        </is>
      </c>
      <c r="H227" s="23" t="n"/>
      <c r="I227" s="23" t="n">
        <v>2.35</v>
      </c>
      <c r="J227" s="24" t="inlineStr">
        <is>
          <t>Pjesërisht e saktë</t>
        </is>
      </c>
      <c r="K227" s="24" t="inlineStr">
        <is>
          <t>jo</t>
        </is>
      </c>
      <c r="L227" s="23" t="n"/>
    </row>
    <row r="228" ht="46.25" customHeight="1" s="19">
      <c r="A228" s="25" t="n">
        <v>46</v>
      </c>
      <c r="B228" s="25" t="inlineStr">
        <is>
          <t>D</t>
        </is>
      </c>
      <c r="C228" s="25" t="inlineStr">
        <is>
          <t>po</t>
        </is>
      </c>
      <c r="D228" s="25" t="inlineStr">
        <is>
          <t>Nëse do të ndryshoja drejtim, cili program tjetër i UET-it do të më përshtatej për financë?</t>
        </is>
      </c>
      <c r="E228" s="25" t="inlineStr">
        <is>
          <t>Aktivizohet rruga e rekomandimit; programe financë, p.sh. MSH Financë, MP Financë, MP TI e Aplikuar në Financë; me burime</t>
        </is>
      </c>
      <c r="F228" s="25" t="n">
        <v>2</v>
      </c>
      <c r="G228" s="25" t="inlineStr">
        <is>
          <t>Për të të rekomanduar një rrugë të përshtatshme, më trego cili është interesi ose objektivi yt i karrierës (p.sh. Data Engineering, zhvillim softueri)?</t>
        </is>
      </c>
      <c r="H228" s="25" t="n"/>
      <c r="I228" s="25" t="n">
        <v>2.66</v>
      </c>
      <c r="J228" s="26" t="inlineStr">
        <is>
          <t>E pasaktë</t>
        </is>
      </c>
      <c r="K228" s="26" t="inlineStr">
        <is>
          <t>jo</t>
        </is>
      </c>
      <c r="L228" s="25" t="inlineStr">
        <is>
          <t>Nuk rekomandon asnjë program; pyet për interesin edhese pyetja e përmend financën. Asnjë burim. Rruga e rekomandimit nuk aktivizohet.</t>
        </is>
      </c>
    </row>
    <row r="229" ht="46.25" customHeight="1" s="19">
      <c r="A229" s="27" t="n">
        <v>46</v>
      </c>
      <c r="B229" s="27" t="inlineStr">
        <is>
          <t>D</t>
        </is>
      </c>
      <c r="C229" s="27" t="inlineStr">
        <is>
          <t>po</t>
        </is>
      </c>
      <c r="D229" s="27" t="inlineStr">
        <is>
          <t>Nëse do të ndryshoja drejtim, cili program tjetër i UET-it do të më përshtatej për financë?</t>
        </is>
      </c>
      <c r="E229" s="27" t="inlineStr">
        <is>
          <t>Aktivizohet rruga e rekomandimit; programe financë, p.sh. MSH Financë, MP Financë, MP TI e Aplikuar në Financë; me burime</t>
        </is>
      </c>
      <c r="F229" s="27" t="n">
        <v>3</v>
      </c>
      <c r="G229" s="27" t="inlineStr">
        <is>
          <t>Për të të rekomanduar një rrugë të përshtatshme, më trego cili është interesi ose objektivi yt i karrierës (p.sh. Data Engineering, zhvillim softueri)?</t>
        </is>
      </c>
      <c r="H229" s="27" t="n"/>
      <c r="I229" s="27" t="n">
        <v>2.36</v>
      </c>
      <c r="J229" s="27">
        <f>J228</f>
        <v/>
      </c>
      <c r="K229" s="27">
        <f>K228</f>
        <v/>
      </c>
      <c r="L229" s="27" t="inlineStr">
        <is>
          <t>Pothuajse identike me ekzekutimin 2</t>
        </is>
      </c>
    </row>
    <row r="230" ht="46.25" customHeight="1" s="19">
      <c r="A230" s="27" t="n">
        <v>46</v>
      </c>
      <c r="B230" s="27" t="inlineStr">
        <is>
          <t>D</t>
        </is>
      </c>
      <c r="C230" s="27" t="inlineStr">
        <is>
          <t>po</t>
        </is>
      </c>
      <c r="D230" s="27" t="inlineStr">
        <is>
          <t>Nëse do të ndryshoja drejtim, cili program tjetër i UET-it do të më përshtatej për financë?</t>
        </is>
      </c>
      <c r="E230" s="27" t="inlineStr">
        <is>
          <t>Aktivizohet rruga e rekomandimit; programe financë, p.sh. MSH Financë, MP Financë, MP TI e Aplikuar në Financë; me burime</t>
        </is>
      </c>
      <c r="F230" s="27" t="n">
        <v>4</v>
      </c>
      <c r="G230" s="27" t="inlineStr">
        <is>
          <t>Për të të rekomanduar një rrugë të përshtatshme, më trego cili është interesi ose objektivi yt i karrierës (p.sh. Data Engineering, zhvillim softueri)?</t>
        </is>
      </c>
      <c r="H230" s="27" t="n"/>
      <c r="I230" s="27" t="n">
        <v>2.66</v>
      </c>
      <c r="J230" s="27">
        <f>J228</f>
        <v/>
      </c>
      <c r="K230" s="27">
        <f>K228</f>
        <v/>
      </c>
      <c r="L230" s="27" t="inlineStr">
        <is>
          <t>Pothuajse identike me ekzekutimin 2</t>
        </is>
      </c>
    </row>
    <row r="231" ht="46.25" customHeight="1" s="19">
      <c r="A231" s="27" t="n">
        <v>46</v>
      </c>
      <c r="B231" s="27" t="inlineStr">
        <is>
          <t>D</t>
        </is>
      </c>
      <c r="C231" s="27" t="inlineStr">
        <is>
          <t>po</t>
        </is>
      </c>
      <c r="D231" s="27" t="inlineStr">
        <is>
          <t>Nëse do të ndryshoja drejtim, cili program tjetër i UET-it do të më përshtatej për financë?</t>
        </is>
      </c>
      <c r="E231" s="27" t="inlineStr">
        <is>
          <t>Aktivizohet rruga e rekomandimit; programe financë, p.sh. MSH Financë, MP Financë, MP TI e Aplikuar në Financë; me burime</t>
        </is>
      </c>
      <c r="F231" s="27" t="n">
        <v>5</v>
      </c>
      <c r="G231" s="27" t="inlineStr">
        <is>
          <t>Për të të rekomanduar një rrugë të përshtatshme, më trego cili është interesi ose objektivi yt i karrierës (p.sh. Data Engineering, zhvillim softueri)?</t>
        </is>
      </c>
      <c r="H231" s="27" t="n"/>
      <c r="I231" s="27" t="n">
        <v>2.68</v>
      </c>
      <c r="J231" s="27">
        <f>J228</f>
        <v/>
      </c>
      <c r="K231" s="27">
        <f>K228</f>
        <v/>
      </c>
      <c r="L231" s="27" t="inlineStr">
        <is>
          <t>Pothuajse identike me ekzekutimin 2</t>
        </is>
      </c>
    </row>
    <row r="232" ht="57.45" customHeight="1" s="19">
      <c r="A232" s="23" t="n">
        <v>47</v>
      </c>
      <c r="B232" s="23" t="inlineStr">
        <is>
          <t>E</t>
        </is>
      </c>
      <c r="C232" s="23" t="inlineStr">
        <is>
          <t>po</t>
        </is>
      </c>
      <c r="D232" s="23" t="inlineStr">
        <is>
          <t>Ma shpjego DOM-in në JavaScript.</t>
        </is>
      </c>
      <c r="E232" s="23" t="inlineStr">
        <is>
          <t>DOM (Document Object Model) është struktura me pemë e faqes HTML me të cilën JavaScript ndërvepron për të ndryshuar elementet ose stilet; burimi: Hyrje ne Javascript.pdf, f. 2</t>
        </is>
      </c>
      <c r="F232" s="23" t="n">
        <v>1</v>
      </c>
      <c r="G232" s="23" t="inlineStr">
        <is>
          <t>(Teksti i përgjigjes së ekzekutimit origjinal nuk është i disponueshëm – vlerësimi është marrë nga Shtojca A.)</t>
        </is>
      </c>
      <c r="H232" s="23" t="n"/>
      <c r="I232" s="23" t="n">
        <v>8.51</v>
      </c>
      <c r="J232" s="24" t="inlineStr">
        <is>
          <t>Pjesërisht e saktë</t>
        </is>
      </c>
      <c r="K232" s="24" t="inlineStr">
        <is>
          <t>jo</t>
        </is>
      </c>
      <c r="L232" s="23" t="n"/>
    </row>
    <row r="233" ht="773.85" customHeight="1" s="19">
      <c r="A233" s="25" t="n">
        <v>47</v>
      </c>
      <c r="B233" s="25" t="inlineStr">
        <is>
          <t>E</t>
        </is>
      </c>
      <c r="C233" s="25" t="inlineStr">
        <is>
          <t>po</t>
        </is>
      </c>
      <c r="D233" s="25" t="inlineStr">
        <is>
          <t>Ma shpjego DOM-in në JavaScript.</t>
        </is>
      </c>
      <c r="E233" s="25" t="inlineStr">
        <is>
          <t>DOM (Document Object Model) është struktura me pemë e faqes HTML me të cilën JavaScript ndërvepron për të ndryshuar elementet ose stilet; burimi: Hyrje ne Javascript.pdf, f. 2</t>
        </is>
      </c>
      <c r="F233" s="25" t="n">
        <v>2</v>
      </c>
      <c r="G233" s="25" t="inlineStr">
        <is>
          <t>## Çfarë është DOM?
**DOM** (Document Object Model) është një përfaqësim strukturor i dokumenteve HTML dhe XML që lejon programuesit të manipulojnë përmbajtjen, strukturën dhe stilin e një faqeje web. DOM-i është një model objektiv që përfaqëson çdo element të dokumentit si një objekt, duke e bërë të mundur ndërveprimin me të përmes JavaScript.
### Hapat e Shpjegimit të DOM-it:
1. **Struktura e DOM-it**:
   - DOM-i përfaqëson dokumentin si një pemë, ku çdo nod (në këtë rast, çdo element HTML) është një degë e pemës.
   - Pjesët kryesore të DOM-it përfshijnë:
     - **Elementet**: Si `&lt;div&gt;`, `&lt;p&gt;`, `&lt;h1&gt;`, etj.
     - **Atributet**: Si `class`, `id`, etj.
     - **Teksti**: Përmbajtja brenda elementeve.
2. **Manipulimi i DOM-it me JavaScript**:
   - JavaScript mund të përdoret për të krijuar, lexuar, modifikuar ose fshirë elemente në DOM.
   - Përdorimi i metodave si `getElementById`, `querySelector`, `appendChild`, dhe `removeChild` lejon programuesit të ndërveprojnë me elementet e faqeve.
### Shembuj të Thjeshtë:
- **Krijimi i një Elementi të Ri**:
  ```javascript
  // Krijojmë një element të ri &lt;p&gt;
  var p = document.createElement("p");
  p.textContent = "Ky është një paragraf i ri!";
  // Shtojmë këtë paragraf në trupin e dokumentit
  document.body.appendChild(p);
  ```
- **Modifikimi i Një Elementi Ekzistues**:
  ```javascript
  // Merrni një element me id "myElement"
  var element = document.getElementById("myElement");
  // Ndryshoni përmbajtjen e tij
  element.textContent = "Përmbajtja e re!";
  ```
- **Fshirja e Një Elementi**:
  ```javascript
  // Merrni një element me id "myElement"
  var element = document.getElementById("myElement");
  // Fshini elementin nga DOM
  element.parentNode.removeChild(element);
  ```
### Pse është e rëndësishme DOM?
DOM-i është thelbësor për zhvillimin e aplikacioneve web, sepse lejon krijimin e faqeve interaktive dhe dinamike. Me anë të manipulimit të DOM-it, zhvilluesit mund të krijojnë efekte vizuale, të reagojnë ndaj veprimeve të përdoruesve dhe të azhurnojnë përmbajtjen e faqeve në kohë reale.
Në përmbledhje, DOM-i është një koncept thelbësor në JavaScript që ndihmon në ndërtimin e aplikacioneve web të fuqishme dhe interaktive.
## Burimet
- Burimi: Hyrje ne Javascript.pdf
- Burimi: Node.js.pdf
- Burimi: Express.js.pdf
- Burimi: Master i Shkencave në Teknologji Informacioni, faqja 1</t>
        </is>
      </c>
      <c r="H233" s="25" t="inlineStr">
        <is>
          <t>Hyrje ne Javascript.pdf | Node.js.pdf | Express.js.pdf | MSc_-Teknologji-Informacioni.pdf (f. 1)</t>
        </is>
      </c>
      <c r="I233" s="25" t="n">
        <v>10.05</v>
      </c>
      <c r="J233" s="26" t="inlineStr">
        <is>
          <t>E saktë</t>
        </is>
      </c>
      <c r="K233" s="26" t="inlineStr">
        <is>
          <t>jo</t>
        </is>
      </c>
      <c r="L233" s="25" t="inlineStr">
        <is>
          <t>Shpjegim i saktë i DOM si pemë, me shembuj kodi; burimet përfshijnë edhe dokumente jorelevante (Node.js, Express.js).</t>
        </is>
      </c>
    </row>
    <row r="234" ht="785.05" customHeight="1" s="19">
      <c r="A234" s="25" t="n">
        <v>47</v>
      </c>
      <c r="B234" s="25" t="inlineStr">
        <is>
          <t>E</t>
        </is>
      </c>
      <c r="C234" s="25" t="inlineStr">
        <is>
          <t>po</t>
        </is>
      </c>
      <c r="D234" s="25" t="inlineStr">
        <is>
          <t>Ma shpjego DOM-in në JavaScript.</t>
        </is>
      </c>
      <c r="E234" s="25" t="inlineStr">
        <is>
          <t>DOM (Document Object Model) është struktura me pemë e faqes HTML me të cilën JavaScript ndërvepron për të ndryshuar elementet ose stilet; burimi: Hyrje ne Javascript.pdf, f. 2</t>
        </is>
      </c>
      <c r="F234" s="25" t="n">
        <v>3</v>
      </c>
      <c r="G234" s="25" t="inlineStr">
        <is>
          <t>## Çfarë është DOM?
Nuk kam materiale të lëndës në bazën e njohurive; kjo është përmbajtje e përgjithshme për temën, jo nga materialet e lëndës.
DOM (Document Object Model) është një strukturë që përfaqëson dokumentet HTML dhe XML në formën e një peme. Çdo element i dokumentit (siç janë etiketat HTML, atributet dhe përmbajtja) është një nod në këtë pemë. DOM-i lejon programuesit të manipulojnë dhe të ndërveprojnë me elementet e një faqeje në mënyrë dinamike duke përdorur JavaScript.
### Si funksionon DOM?
1. **Struktura**: DOM-i përfaqëson dokumentin si një pemë. Çdo nod në pemë është një pjesë e dokumentit. Për shembull:
   - Një etiketë `&lt;html&gt;` është nodi kryesor.
   - Brenda saj, ka nodin `&lt;head&gt;` dhe nodin `&lt;body&gt;`.
   - Çdo etiketë brenda `&lt;body&gt;`, si `&lt;h1&gt;`, `&lt;p&gt;`, etj., është gjithashtu një nod.
2. **Manipulimi**: Me JavaScript, mund të ndryshoni përmbajtjen, stilin ose strukturën e dokumentit. Për shembull:
   - Të ndryshoni tekstin e një etikete `&lt;h1&gt;`:
     ```javascript
     document.querySelector('h1').innerText = 'Përshëndetje, Botë!';
     ```
3. **Ngjarjet**: DOM-i gjithashtu lejon që të reagoni ndaj ngjarjeve, si klikimet e përdoruesve. Për shembull:
   ```javascript
   document.querySelector('button').addEventListener('click', function {
       alert('Butoni u klikua!');
   });
   ```
### Shembull i Thjeshtë
Imagjinoni një faqe me këtë strukturë HTML:
```html
&lt;!DOCTYPE html&gt;
&lt;html&gt;
&lt;head&gt;
    &lt;title&gt;Shembulli i DOM&lt;/title&gt;
&lt;/head&gt;
&lt;body&gt;
    &lt;h1&gt;Mirë se vini!&lt;/h1&gt;
    &lt;button&gt;Kliko këtu&lt;/button&gt;
&lt;/body&gt;
&lt;/html&gt;
```
Me JavaScript, mund të ndryshoni titullin e `&lt;h1&gt;` duke përdorur DOM:
```javascript
document.querySelector('h1').innerText = 'Përshëndetje, Botë!';
```
Pas ekzekutimit të këtij kodi, titulli në faqe do të ndryshojë nga "Mirë se vini!" në "Përshëndetje, Botë!".
### Përfundim
DOM-i është një mjet i fuqishëm që lejon zhvilluesit të krijojnë faqe web interaktive dhe dinamike duke manipuluar elementet e dokumentit në kohë reale.
## Burimet
- Burimi: Hyrje ne Javascript.pdf
- Burimi: Node.js.pdf
- Burimi: Express.js.pdf
- Burimi: Master i Shkencave në Teknologji Informacioni, faqja 1</t>
        </is>
      </c>
      <c r="H234" s="25" t="inlineStr">
        <is>
          <t>Hyrje ne Javascript.pdf | Node.js.pdf | Express.js.pdf | MSc_-Teknologji-Informacioni.pdf (f. 1)</t>
        </is>
      </c>
      <c r="I234" s="25" t="n">
        <v>9.52</v>
      </c>
      <c r="J234" s="26" t="inlineStr">
        <is>
          <t>Pjesërisht e saktë</t>
        </is>
      </c>
      <c r="K234" s="26" t="inlineStr">
        <is>
          <t>po</t>
        </is>
      </c>
      <c r="L234" s="25" t="inlineStr">
        <is>
          <t>Shpjegimi është i saktë, por thotë 'Nuk kam materiale të lëndës në bazën e njohurive' edhe pse burimet e lëndës janë cituar (kontradiktë). Në shembullin e kodit mungojnë kllapat te 'function'.</t>
        </is>
      </c>
    </row>
    <row r="235" ht="661.9" customHeight="1" s="19">
      <c r="A235" s="25" t="n">
        <v>47</v>
      </c>
      <c r="B235" s="25" t="inlineStr">
        <is>
          <t>E</t>
        </is>
      </c>
      <c r="C235" s="25" t="inlineStr">
        <is>
          <t>po</t>
        </is>
      </c>
      <c r="D235" s="25" t="inlineStr">
        <is>
          <t>Ma shpjego DOM-in në JavaScript.</t>
        </is>
      </c>
      <c r="E235" s="25" t="inlineStr">
        <is>
          <t>DOM (Document Object Model) është struktura me pemë e faqes HTML me të cilën JavaScript ndërvepron për të ndryshuar elementet ose stilet; burimi: Hyrje ne Javascript.pdf, f. 2</t>
        </is>
      </c>
      <c r="F235" s="25" t="n">
        <v>4</v>
      </c>
      <c r="G235" s="25" t="inlineStr">
        <is>
          <t>## Çfarë është DOM?
**DOM** (Document Object Model) është një përfaqësim strukturor i një dokumenti HTML ose XML që lejon programuesit të manipulojnë përmbajtjen, strukturën dhe stilin e faqes nëpërmjet JavaScript. DOM-i e trajton dokumentin si një hierarki të objekteve, ku çdo element i HTML-së (siç janë div, p, img, etj.) është një objekt që mund të manipulohet.
### Hapat për të kuptuar DOM-in:
1. **Struktura e DOM-it**:
   - DOM-i përfaqëson çdo element të HTML-së si një nod (nyje) në një pemë. Pema fillon nga një nod i quajtur "root" (rrënja), që zakonisht është elementi `&lt;html&gt;`.
   - Çdo element brenda dokumentit është një nod i veçantë. Për shembull, një element `&lt;div&gt;` është një nod, dhe çdo element brenda tij është një nod tjetër.
2. **Manipulimi i DOM-it**:
   - JavaScript mund të përdoret për të ndryshuar përmbajtjen e elementeve, për të shtuar ose hequr elemente, dhe për të ndryshuar stilin e tyre.
   - Përdorimi i metodave si `getElementById`, `getElementsByClassName`, ose `querySelector` lejon që programuesit të aksesojnë dhe të manipulojnë këto nod.
3. **Shembuj të thjeshtë**:
   - **Shtimi i një elementi**: Mund të krijosh një element të ri dhe ta shtosh në DOM.
     ```javascript
     let newDiv = document.createElement("div"); // Krijon një div të ri
     newDiv.innerHTML = "Përmbajtja e re"; // Shton përmbajtje
     document.body.appendChild(newDiv); // Shton div-in në fund të trupit të dokumentit
     ```
   - **Ndryshimi i përmbajtjes**: Mund të ndryshosh përmbajtjen e një elementi ekzistues.
     ```javascript
     document.getElementById("myElement").innerHTML = "Përmbajtja e ndryshuar"; // Ndryshon përmbajtjen e një elementi me ID "myElement"
     ```
   - **Heqja e një elementi**: Mund të heqësh një element nga DOM.
     ```javascript
     let elementToRemove = document.getElementById("myElement");
     elementToRemove.parentNode.removeChild(elementToRemove); // Heq elementin nga DOM
     ```
### Pse është i rëndësishëm DOM-i?
DOM-i është thelbësor për zhvillimin e aplikacioneve web, sepse lejon që faqet të jenë dinamike dhe interaktive. Pa DOM-in, do të ishte e vështirë të krijosh përmbajtje që reagon ndaj veprimeve të përdoruesve, si klikat, lëvizjet e mausit, ose ndryshimet në të dhëna.
Në përmbledhje, DOM-i është një koncept kyç në JavaScript që ndihmon në menaxhimin e përmbajtjes dhe strukturës së faqeve web.
## Burimet
- Burimi: Hyrje ne Javascript.pdf
- Burimi: Node.js.pdf
- Burimi: Express.js.pdf
- Burimi: Master i Shkencave në Teknologji Informacioni, faqja 1</t>
        </is>
      </c>
      <c r="H235" s="25" t="inlineStr">
        <is>
          <t>Hyrje ne Javascript.pdf | Node.js.pdf | Express.js.pdf | MSc_-Teknologji-Informacioni.pdf (f. 1)</t>
        </is>
      </c>
      <c r="I235" s="25" t="n">
        <v>9.720000000000001</v>
      </c>
      <c r="J235" s="26" t="inlineStr">
        <is>
          <t>E saktë</t>
        </is>
      </c>
      <c r="K235" s="26" t="inlineStr">
        <is>
          <t>jo</t>
        </is>
      </c>
      <c r="L235" s="25" t="inlineStr">
        <is>
          <t>Shpjegim i saktë i DOM si pemë, me shembuj kodi; burimet përfshijnë edhe dokumente jorelevante (Node.js, Express.js).</t>
        </is>
      </c>
    </row>
    <row r="236" ht="684.3" customHeight="1" s="19">
      <c r="A236" s="25" t="n">
        <v>47</v>
      </c>
      <c r="B236" s="25" t="inlineStr">
        <is>
          <t>E</t>
        </is>
      </c>
      <c r="C236" s="25" t="inlineStr">
        <is>
          <t>po</t>
        </is>
      </c>
      <c r="D236" s="25" t="inlineStr">
        <is>
          <t>Ma shpjego DOM-in në JavaScript.</t>
        </is>
      </c>
      <c r="E236" s="25" t="inlineStr">
        <is>
          <t>DOM (Document Object Model) është struktura me pemë e faqes HTML me të cilën JavaScript ndërvepron për të ndryshuar elementet ose stilet; burimi: Hyrje ne Javascript.pdf, f. 2</t>
        </is>
      </c>
      <c r="F236" s="25" t="n">
        <v>5</v>
      </c>
      <c r="G236" s="25" t="inlineStr">
        <is>
          <t>## Çfarë është DOM?
**DOM** (Document Object Model) është një përfaqësim strukturor i dokumenteve HTML dhe XML. Ai lejon që programuesit të manipulojnë përmbajtjen, strukturën dhe stilin e një faqeje web në mënyrë dinamike, duke përdorur JavaScript.
### Hapat e shpjegimit të DOM-it:
1. **Struktura e DOM-it**:
   - DOM-i përfaqëson çdo element të HTML-së si një objekt. Kjo do të thotë se çdo tag (si `&lt;div&gt;`, `&lt;p&gt;`, `&lt;h1&gt;`, etj.) bëhet një nod në një pemë.
   - Pema fillon nga elementi "root", zakonisht `&lt;html&gt;`, dhe çdo element tjetër është një nod i lidhur me të.
2. **Manipulimi i DOM-it me JavaScript**:
   - Me JavaScript, mund të qasemi dhe të ndryshojmë këto objekte. Kjo na lejon të shtojmë, heqim ose modifikojmë elemente në faqe.
   - Përdorim metoda të ndryshme për të manipuluar DOM-in, si `getElementById`, `getElementsByClassName`, dhe `querySelector`.
3. **Shembuj të thjeshtë**:
   - **Shtimi i një elementi**: Mund të krijojmë një element të ri dhe ta shtojmë në DOM.
     ```javascript
     let newElement = document.createElement("p"); // Krijon një element të ri &lt;p&gt;
     newElement.textContent = "Ky është një paragraf i ri!"; // Shton tekstin
     document.body.appendChild(newElement); // Shton elementin në fund të trupit të dokumentit
     ```
   - **Modifikimi i një elementi ekzistues**: Mund të ndryshojmë përmbajtjen e një elementi ekzistues.
     ```javascript
     let existingElement = document.getElementById("myElement"); // Merr elementin me ID "myElement"
     existingElement.textContent = "Përmbajtja është ndryshuar!"; // Ndryshon tekstin
     ```
   - **Heqja e një elementi**: Mund të heqim një element nga DOM.
     ```javascript
     let elementToRemove = document.getElementById("removeMe"); // Merr elementin që do të hiqet
     elementToRemove.parentNode.removeChild(elementToRemove); // Heq elementin nga DOM
     ```
### Pse është i rëndësishëm DOM-i?
DOM-i është thelbësor për zhvillimin e aplikacioneve web, sepse:
- Lejon interaktivitetin në faqe.
- Mundëson ndryshimin e përmbajtjes në kohë reale pa rifreskuar faqen.
- Ndihmon në krijimin e aplikacioneve dinamike që reagojnë ndaj veprimeve të përdoruesve.
Në përmbledhje, DOM-i është një mjet i fuqishëm që na lejon të ndërveprojmë me HTML-në dhe të krijojmë përvoja më të pasura për përdoruesit në web.
## Burimet
- Burimi: Hyrje ne Javascript.pdf
- Burimi: Node.js.pdf
- Burimi: Express.js.pdf
- Burimi: Master i Shkencave në Teknologji Informacioni, faqja 1</t>
        </is>
      </c>
      <c r="H236" s="25" t="inlineStr">
        <is>
          <t>Hyrje ne Javascript.pdf | Node.js.pdf | Express.js.pdf | MSc_-Teknologji-Informacioni.pdf (f. 1)</t>
        </is>
      </c>
      <c r="I236" s="25" t="n">
        <v>10.03</v>
      </c>
      <c r="J236" s="26" t="inlineStr">
        <is>
          <t>E saktë</t>
        </is>
      </c>
      <c r="K236" s="26" t="inlineStr">
        <is>
          <t>jo</t>
        </is>
      </c>
      <c r="L236" s="25" t="inlineStr">
        <is>
          <t>Shpjegim i saktë i DOM si pemë, me shembuj kodi; burimet përfshijnë edhe dokumente jorelevante (Node.js, Express.js).</t>
        </is>
      </c>
    </row>
    <row r="237" ht="68.65000000000001" customHeight="1" s="19">
      <c r="A237" s="23" t="n">
        <v>48</v>
      </c>
      <c r="B237" s="23" t="inlineStr">
        <is>
          <t>E</t>
        </is>
      </c>
      <c r="C237" s="23" t="inlineStr">
        <is>
          <t>po</t>
        </is>
      </c>
      <c r="D237" s="23" t="inlineStr">
        <is>
          <t>Çfarë është middleware në Express.js?</t>
        </is>
      </c>
      <c r="E237" s="23" t="inlineStr">
        <is>
          <t>Funksion me qasje në req, res dhe next në ciklin kërkesë-përgjigje; lloje: të nivelit të aplikacionit, të palëve të treta (cors, morgan, helmet), për menaxhimin e gabimeve me 4 parametra (err, req, res, next); burimi: Express.js.pdf, f. 2</t>
        </is>
      </c>
      <c r="F237" s="23" t="n">
        <v>1</v>
      </c>
      <c r="G237" s="23" t="inlineStr">
        <is>
          <t>(Teksti i përgjigjes së ekzekutimit origjinal nuk është i disponueshëm – vlerësimi është marrë nga Shtojca A.)</t>
        </is>
      </c>
      <c r="H237" s="23" t="n"/>
      <c r="I237" s="23" t="n">
        <v>12.39</v>
      </c>
      <c r="J237" s="24" t="inlineStr">
        <is>
          <t>E saktë</t>
        </is>
      </c>
      <c r="K237" s="24" t="inlineStr">
        <is>
          <t>jo</t>
        </is>
      </c>
      <c r="L237" s="23" t="n"/>
    </row>
    <row r="238" ht="494" customHeight="1" s="19">
      <c r="A238" s="25" t="n">
        <v>48</v>
      </c>
      <c r="B238" s="25" t="inlineStr">
        <is>
          <t>E</t>
        </is>
      </c>
      <c r="C238" s="25" t="inlineStr">
        <is>
          <t>po</t>
        </is>
      </c>
      <c r="D238" s="25" t="inlineStr">
        <is>
          <t>Çfarë është middleware në Express.js?</t>
        </is>
      </c>
      <c r="E238" s="25" t="inlineStr">
        <is>
          <t>Funksion me qasje në req, res dhe next në ciklin kërkesë-përgjigje; lloje: të nivelit të aplikacionit, të palëve të treta (cors, morgan, helmet), për menaxhimin e gabimeve me 4 parametra (err, req, res, next); burimi: Express.js.pdf, f. 2</t>
        </is>
      </c>
      <c r="F238" s="25" t="n">
        <v>2</v>
      </c>
      <c r="G238" s="25" t="inlineStr">
        <is>
          <t>## Informacion mbi lëndën
- **Emri i lëndës**: Zhvillim Webi: aplikime dhe programim
- **ECTS**: 10 ECTS
- **Viti**: 2
- **Semestri**: 2
- **Kategoria**: Lëndë karakterizuese
- **Specializimi**: Master i Shkencave në Teknologji Informacioni (Burimi: Master i Shkencave në Teknologji Informacioni, f. 1)
Përshkrimi, temat dhe objektivat e të nxënit nuk janë të disponueshme në burimet e ngarkuara.
## Middleware në Express.js
Në Express.js, një middleware është një funksion që ka qasje në objektin e kërkesës (req), objektin e përgjigjes (res) dhe funksionin tjetër middleware në ciklin kërkesë-përgjigje (next). 
### Llojet e Middleware:
- **Middleware të nivelit të aplikacionit**: Këto lidhen direkt me objektin `app` për çdo kërkesë ose rrugë specifike.
- **Middleware të palëve të treta**: Këto janë paketimet e NPM-së si `cors` (për lejim kërkesash ndër-origjinë), `morgan` (për regjistrimin e kërkesave në console), ose `helmet` (për siguri).
- **Menaxhimi i Gabimeve**: Funksione të posaçme middleware që marrin katër parametra (err, req, res, next) për të kapur dhe procesuar gabimet globalisht.
### Shembuj të Middleware:
Një shembull i një middleware për logim është:
```javascript
app.use((req, res, next) =&gt; {
    console.log(`Kërkesë e re: ${req.method} në ${req.url}`);
    next; // Kalon kontrollin te middleware apo router-i tjetër
});
```
Middleware është një komponent i rëndësishëm në ndihmën e menaxhimit të kërkesave dhe përgjigjeve në aplikacionet e ndërtuara me Express.js (Burimi: Express.js.pdf, f. 2).
## Burimet
- Burimi: Express.js.pdf, faqja 2
- Burimi: Master i Shkencave në Teknologji Informacioni, faqja 1</t>
        </is>
      </c>
      <c r="H238" s="25" t="inlineStr">
        <is>
          <t>Express.js.pdf (f. 2) | MSc_-Teknologji-Informacioni.pdf (f. 1)</t>
        </is>
      </c>
      <c r="I238" s="25" t="n">
        <v>8.84</v>
      </c>
      <c r="J238" s="26" t="inlineStr">
        <is>
          <t>Pjesërisht e saktë</t>
        </is>
      </c>
      <c r="K238" s="26" t="inlineStr">
        <is>
          <t>jo</t>
        </is>
      </c>
      <c r="L238" s="25" t="inlineStr">
        <is>
          <t>Përkufizimi, llojet dhe 4 parametrat e error-handling janë të sakta. Fillon me bllok të panevojshëm 'Informacion mbi lëndën' dhe në shembull shkruan 'next;' në vend të 'next()' (kllapat bosh humbasin).</t>
        </is>
      </c>
    </row>
    <row r="239" ht="494" customHeight="1" s="19">
      <c r="A239" s="25" t="n">
        <v>48</v>
      </c>
      <c r="B239" s="25" t="inlineStr">
        <is>
          <t>E</t>
        </is>
      </c>
      <c r="C239" s="25" t="inlineStr">
        <is>
          <t>po</t>
        </is>
      </c>
      <c r="D239" s="25" t="inlineStr">
        <is>
          <t>Çfarë është middleware në Express.js?</t>
        </is>
      </c>
      <c r="E239" s="25" t="inlineStr">
        <is>
          <t>Funksion me qasje në req, res dhe next në ciklin kërkesë-përgjigje; lloje: të nivelit të aplikacionit, të palëve të treta (cors, morgan, helmet), për menaxhimin e gabimeve me 4 parametra (err, req, res, next); burimi: Express.js.pdf, f. 2</t>
        </is>
      </c>
      <c r="F239" s="25" t="n">
        <v>3</v>
      </c>
      <c r="G239" s="25" t="inlineStr">
        <is>
          <t>## Informacion mbi lëndën
- **Emri i lëndës**: Zhvillim Webi: aplikime dhe programim
- **ECTS**: 10
- **Viti**: 2
- **Semestri**: 2
- **Kategoria**: Lëndë karakterizuese
- **Specializimi**: Master i Shkencave në Teknologji Informacioni (Burimi: Master i Shkencave në Teknologji Informacioni, f. 1)
Përshkrimi, temat dhe objektivat e të nxënit nuk janë të disponueshme në burimet e ngarkuara.
## Middleware në Express.js
Middleware në Express.js është një funksion që ka qasje në objektin e kërkesës (req), objektin e përgjigjes (res) dhe funksionin tjetër middleware në ciklin kërkesë-përgjigje (next). 
### Llojet e Middleware:
- **Middleware të nivelit të aplikacionit**: Këto lidhen direkt me objektin `app` për çdo kërkesë ose rrugë specifike.
- **Middleware të palëve të treta**: Këto janë paketimet e NPM-së si `cors` (për lejim kërkesash ndër-origjinë), `morgan` (për regjistrimin e kërkesave në console), ose `helmet` (për siguri).
- **Menaxhimi i Gabimeve**: Funksione të posaçme middleware që marrin katër parametra (err, req, res, next) për të kapur dhe procesuar gabimet globalisht.
### Shembuj:
Një shembull i një middleware për logim është:
```javascript
app.use((req, res, next) =&gt; {
    console.log(`Kërkesë e re: ${req.method} në ${req.url}`);
    next; // Kalon kontrollin te middleware apo router-i tjetër
});
```
Middleware është një komponent i rëndësishëm në ndihmën e menaxhimit të kërkesave dhe përgjigjeve në aplikacionet e zhvilluara me Express.js (Burimi: Express.js.pdf, f. 2).
## Burimet
- Burimi: Express.js.pdf, faqja 2
- Burimi: Master i Shkencave në Teknologji Informacioni, faqja 1</t>
        </is>
      </c>
      <c r="H239" s="25" t="inlineStr">
        <is>
          <t>Express.js.pdf (f. 2) | MSc_-Teknologji-Informacioni.pdf (f. 1)</t>
        </is>
      </c>
      <c r="I239" s="25" t="n">
        <v>7.35</v>
      </c>
      <c r="J239" s="26" t="inlineStr">
        <is>
          <t>Pjesërisht e saktë</t>
        </is>
      </c>
      <c r="K239" s="26" t="inlineStr">
        <is>
          <t>jo</t>
        </is>
      </c>
      <c r="L239" s="25" t="inlineStr">
        <is>
          <t>Përkufizimi, llojet dhe 4 parametrat e error-handling janë të sakta. Fillon me bllok të panevojshëm 'Informacion mbi lëndën' dhe në shembull shkruan 'next;' në vend të 'next()' (kllapat bosh humbasin).</t>
        </is>
      </c>
    </row>
    <row r="240" ht="482.8" customHeight="1" s="19">
      <c r="A240" s="25" t="n">
        <v>48</v>
      </c>
      <c r="B240" s="25" t="inlineStr">
        <is>
          <t>E</t>
        </is>
      </c>
      <c r="C240" s="25" t="inlineStr">
        <is>
          <t>po</t>
        </is>
      </c>
      <c r="D240" s="25" t="inlineStr">
        <is>
          <t>Çfarë është middleware në Express.js?</t>
        </is>
      </c>
      <c r="E240" s="25" t="inlineStr">
        <is>
          <t>Funksion me qasje në req, res dhe next në ciklin kërkesë-përgjigje; lloje: të nivelit të aplikacionit, të palëve të treta (cors, morgan, helmet), për menaxhimin e gabimeve me 4 parametra (err, req, res, next); burimi: Express.js.pdf, f. 2</t>
        </is>
      </c>
      <c r="F240" s="25" t="n">
        <v>4</v>
      </c>
      <c r="G240" s="25" t="inlineStr">
        <is>
          <t>## Informacion mbi lëndën
- **Emri i lëndës**: Zhvillim Webi: aplikime dhe programim
- **ECTS**: 10
- **Viti**: 2
- **Semestri**: 2
- **Kategoria**: Lëndë karakterizuese
- **Specializimi**: Master i Shkencave në Teknologji Informacioni
Përshkrimi, temat dhe objektivat e të nxënit nuk janë të disponueshme në burimet e ngarkuara.
## Middleware në Express.js
Në Express.js, një middleware është një funksion që ka qasje në objektin e kërkesës (req), objektin e përgjigjes (res) dhe funksionin tjetër middleware në ciklin kërkesë-përgjigje (next). 
### Llojet e Middleware:
- **Middleware të nivelit të aplikacionit**: Këto lidhen direkt me objektin `app` për çdo kërkesë ose rrugë specifike.
- **Middleware të palëve të treta**: Këto janë paketimet e NPM-së si `cors` (për lejim kërkesash ndër-origjinë), `morgan` (për regjistrimin e kërkesave në console), ose `helmet` (për siguri).
- **Menaxhimi i Gabimeve**: Funksione të posaçme middleware që marrin katër parametra (err, req, res, next) për të kapur dhe procesuar gabimet globalisht.
### Shembuj:
Një shembull i një middleware për logim mund të jetë:
```javascript
app.use((req, res, next) =&gt; {
    console.log(`Kërkesë e re: ${req.method} në ${req.url}`);
    next; // Kalon kontrollin te middleware apo router-i tjetër
});
```
Middleware është një komponent i rëndësishëm në ndihmën e menaxhimit të kërkesave dhe përgjigjeve në aplikacionet që përdorin Express.js (Burimi: Express.js.pdf, f. 2).
## Burimet
- Burimi: Express.js.pdf, faqja 2
- Burimi: Master i Shkencave në Teknologji Informacioni</t>
        </is>
      </c>
      <c r="H240" s="25" t="inlineStr">
        <is>
          <t>Express.js.pdf (f. 2) | MSc_-Teknologji-Informacioni.pdf</t>
        </is>
      </c>
      <c r="I240" s="25" t="n">
        <v>9.029999999999999</v>
      </c>
      <c r="J240" s="26" t="inlineStr">
        <is>
          <t>Pjesërisht e saktë</t>
        </is>
      </c>
      <c r="K240" s="26" t="inlineStr">
        <is>
          <t>jo</t>
        </is>
      </c>
      <c r="L240" s="25" t="inlineStr">
        <is>
          <t>Përkufizimi, llojet dhe 4 parametrat e error-handling janë të sakta. Fillon me bllok të panevojshëm 'Informacion mbi lëndën' dhe në shembull shkruan 'next;' në vend të 'next()' (kllapat bosh humbasin).</t>
        </is>
      </c>
    </row>
    <row r="241" ht="527.6" customHeight="1" s="19">
      <c r="A241" s="25" t="n">
        <v>48</v>
      </c>
      <c r="B241" s="25" t="inlineStr">
        <is>
          <t>E</t>
        </is>
      </c>
      <c r="C241" s="25" t="inlineStr">
        <is>
          <t>po</t>
        </is>
      </c>
      <c r="D241" s="25" t="inlineStr">
        <is>
          <t>Çfarë është middleware në Express.js?</t>
        </is>
      </c>
      <c r="E241" s="25" t="inlineStr">
        <is>
          <t>Funksion me qasje në req, res dhe next në ciklin kërkesë-përgjigje; lloje: të nivelit të aplikacionit, të palëve të treta (cors, morgan, helmet), për menaxhimin e gabimeve me 4 parametra (err, req, res, next); burimi: Express.js.pdf, f. 2</t>
        </is>
      </c>
      <c r="F241" s="25" t="n">
        <v>5</v>
      </c>
      <c r="G241" s="25" t="inlineStr">
        <is>
          <t>## Informacion mbi lëndën
- **Emri i lëndës**: Zhvillim Webi: aplikime dhe programim
- **ECTS**: 10 ECTS
- **Viti**: 2
- **Semestri**: 2
- **Kategoria**: Lëndë karakterizuese
- **Specializimi**: Master i Shkencave në Teknologji Informacioni (Burimi: Master i Shkencave në Teknologji Informacioni, f. 1)
Përshkrimi, temat dhe objektivat e të nxënit nuk janë të disponueshme në burimet e ngarkuara.
## Middleware në Express.js
Në Express.js, një **middleware** është një funksion që ka qasje në objektin e kërkesës (req), objektin e përgjigjes (res) dhe funksionin tjetër middleware në ciklin kërkesë-përgjigje (next). 
### Llojet e Middleware:
- **Middleware të nivelit të aplikacionit**: Këto lidhen direkt me objektin `app` për çdo kërkesë ose rrugë specifike.
- **Middleware të palëve të treta**: Këto janë paketimet e NPM-së si `cors` (për lejim kërkesash ndër-origjinë), `morgan` (për regjistrimin e kërkesave në console), ose `helmet` (për siguri).
- **Menaxhimi i Gabimeve**: Funksione të posaçme middleware që marrin katër parametra (err, req, res, next) për të kapur dhe procesuar gabimet globalisht.
### Shembuj të Middleware:
Një shembull i thjeshtë i një middleware për logim është:
```javascript
app.use((req, res, next) =&gt; {
    console.log(`Kërkesë e re: ${req.method} në ${req.url}`);
    next; // Kalon kontrollin te middleware apo router-i tjetër
});
```
Middleware është një komponent i rëndësishëm në arkitekturën e Express.js, duke lejuar zhvilluesit të menaxhojnë kërkesat dhe përgjigjet në mënyrë efikase (Burimi: Express.js.pdf, f. 2).
## Burimet
- Burimi: Express.js.pdf, faqja 2
- Burimi: Master i Shkencave në Teknologji Informacioni, faqja 1</t>
        </is>
      </c>
      <c r="H241" s="25" t="inlineStr">
        <is>
          <t>Express.js.pdf (f. 2) | MSc_-Teknologji-Informacioni.pdf (f. 1)</t>
        </is>
      </c>
      <c r="I241" s="25" t="n">
        <v>7.7</v>
      </c>
      <c r="J241" s="26" t="inlineStr">
        <is>
          <t>Pjesërisht e saktë</t>
        </is>
      </c>
      <c r="K241" s="26" t="inlineStr">
        <is>
          <t>jo</t>
        </is>
      </c>
      <c r="L241" s="25" t="inlineStr">
        <is>
          <t>Përkufizimi, llojet dhe 4 parametrat e error-handling janë të sakta. Fillon me bllok të panevojshëm 'Informacion mbi lëndën' dhe në shembull shkruan 'next;' në vend të 'next()' (kllapat bosh humbasin).</t>
        </is>
      </c>
    </row>
    <row r="242" ht="57.45" customHeight="1" s="19">
      <c r="A242" s="23" t="n">
        <v>49</v>
      </c>
      <c r="B242" s="23" t="inlineStr">
        <is>
          <t>E</t>
        </is>
      </c>
      <c r="C242" s="23" t="inlineStr">
        <is>
          <t>po</t>
        </is>
      </c>
      <c r="D242" s="23" t="inlineStr">
        <is>
          <t>Pse Node.js nuk është zgjidhje ideale për detyra intensive CPU?</t>
        </is>
      </c>
      <c r="E242" s="23" t="inlineStr">
        <is>
          <t>Për shkak të natyrës single-threaded: enkriptimi i rëndë, përpunimi i videove apo llogaritjet komplekse bllokojnë Event Loop-in dhe ngadalësojnë kërkesat e tjera; burimi: Node.js.pdf, f. 2</t>
        </is>
      </c>
      <c r="F242" s="23" t="n">
        <v>1</v>
      </c>
      <c r="G242" s="23" t="inlineStr">
        <is>
          <t>(Teksti i përgjigjes së ekzekutimit origjinal nuk është i disponueshëm – vlerësimi është marrë nga Shtojca A.)</t>
        </is>
      </c>
      <c r="H242" s="23" t="n"/>
      <c r="I242" s="23" t="n">
        <v>5.72</v>
      </c>
      <c r="J242" s="24" t="inlineStr">
        <is>
          <t>E saktë</t>
        </is>
      </c>
      <c r="K242" s="24" t="inlineStr">
        <is>
          <t>jo</t>
        </is>
      </c>
      <c r="L242" s="23" t="n"/>
    </row>
    <row r="243" ht="202.95" customHeight="1" s="19">
      <c r="A243" s="25" t="n">
        <v>49</v>
      </c>
      <c r="B243" s="25" t="inlineStr">
        <is>
          <t>E</t>
        </is>
      </c>
      <c r="C243" s="25" t="inlineStr">
        <is>
          <t>po</t>
        </is>
      </c>
      <c r="D243" s="25" t="inlineStr">
        <is>
          <t>Pse Node.js nuk është zgjidhje ideale për detyra intensive CPU?</t>
        </is>
      </c>
      <c r="E243" s="25" t="inlineStr">
        <is>
          <t>Për shkak të natyrës single-threaded: enkriptimi i rëndë, përpunimi i videove apo llogaritjet komplekse bllokojnë Event Loop-in dhe ngadalësojnë kërkesat e tjera; burimi: Node.js.pdf, f. 2</t>
        </is>
      </c>
      <c r="F243" s="25" t="n">
        <v>2</v>
      </c>
      <c r="G243" s="25" t="inlineStr">
        <is>
          <t>## Pse Node.js nuk është zgjidhje ideale për detyra intensive CPU?
Node.js nuk është zgjidhja ideale për detyra intensive CPU për shkak të natyrës së tij single-threaded. Kjo do të thotë se Node.js ekzekuton një proces në një thread të vetëm dhe çdo detyrë që kërkon shumë burime CPU, si enkriptimi i rëndë, përpunimi i videove ose llogaritjet komplekse matematikore, mund të bllokojë Event Loop-in. Kjo bllokim do të ngadalësojë të gjitha kërkesat e tjera që janë në pritje, duke shkaktuar një performancë të dobët për aplikacionet që kërkojnë përpunim të shpejtë dhe efikas (Burimi: Node.js.pdf, f. 2).
Për këtë arsye, Node.js është më i përshtatshëm për aplikacione që kërkojnë përpunim në kohë reale dhe ngarkesë të lartë I/O, si REST APIs, aplikacione në kohë reale dhe microservices, ku ngarkesa e punës është më shumë e orientuar në operacione I/O sesa në llogaritje intensive CPU (Burimi: Node.js.pdf, f. 2).
## Burimet
- Burimi: Node.js.pdf, faqja 2
- Burimi: Master i Shkencave në Teknologji Informacioni, faqja 1</t>
        </is>
      </c>
      <c r="H243" s="25" t="inlineStr">
        <is>
          <t>Node.js.pdf (f. 2) | MSc_-Teknologji-Informacioni.pdf (f. 1)</t>
        </is>
      </c>
      <c r="I243" s="25" t="n">
        <v>6.65</v>
      </c>
      <c r="J243" s="26" t="inlineStr">
        <is>
          <t>E saktë</t>
        </is>
      </c>
      <c r="K243" s="26" t="inlineStr">
        <is>
          <t>jo</t>
        </is>
      </c>
      <c r="L243" s="25" t="n"/>
    </row>
    <row r="244" ht="191.75" customHeight="1" s="19">
      <c r="A244" s="25" t="n">
        <v>49</v>
      </c>
      <c r="B244" s="25" t="inlineStr">
        <is>
          <t>E</t>
        </is>
      </c>
      <c r="C244" s="25" t="inlineStr">
        <is>
          <t>po</t>
        </is>
      </c>
      <c r="D244" s="25" t="inlineStr">
        <is>
          <t>Pse Node.js nuk është zgjidhje ideale për detyra intensive CPU?</t>
        </is>
      </c>
      <c r="E244" s="25" t="inlineStr">
        <is>
          <t>Për shkak të natyrës single-threaded: enkriptimi i rëndë, përpunimi i videove apo llogaritjet komplekse bllokojnë Event Loop-in dhe ngadalësojnë kërkesat e tjera; burimi: Node.js.pdf, f. 2</t>
        </is>
      </c>
      <c r="F244" s="25" t="n">
        <v>3</v>
      </c>
      <c r="G244" s="25" t="inlineStr">
        <is>
          <t>## Pse Node.js nuk është zgjidhje ideale për detyra intensive CPU?
Node.js nuk është zgjidhja ideale për detyra intensive CPU për shkak të natyrës së tij single-threaded. Kjo do të thotë se Node.js ekzekuton një kod në një vetëm thread, dhe nëse ndodhin operacione të rënda që kërkojnë shumë burime CPU, si enkriptimi i rëndë, përpunimi i videove ose llogaritjet komplekse matematikore, ato mund të bllokojnë Event Loop-in. Kjo bllokim do të ngadalësojë të gjitha kërkesat e tjera që janë duke pritur për të u përpunuar, duke shkaktuar vonesa në përgjigjet e aplikacioneve.
Për më tepër, operacionet intensive CPU mund të pengojnë përfitimet që ofron Node.js në përpunimin e ngarkesave të larta I/O dhe në aplikacionet që kërkojnë përpunim në kohë reale, për të cilat është më i përshtatshëm (Burimi: Node.js.pdf, f. 2).
## Burimet
- Burimi: Node.js.pdf, faqja 2
- Burimi: Master i Shkencave në Teknologji Informacioni, faqja 1</t>
        </is>
      </c>
      <c r="H244" s="25" t="inlineStr">
        <is>
          <t>Node.js.pdf (f. 2) | MSc_-Teknologji-Informacioni.pdf (f. 1)</t>
        </is>
      </c>
      <c r="I244" s="25" t="n">
        <v>5.86</v>
      </c>
      <c r="J244" s="26" t="inlineStr">
        <is>
          <t>E saktë</t>
        </is>
      </c>
      <c r="K244" s="26" t="inlineStr">
        <is>
          <t>jo</t>
        </is>
      </c>
      <c r="L244" s="25" t="n"/>
    </row>
    <row r="245" ht="214.15" customHeight="1" s="19">
      <c r="A245" s="25" t="n">
        <v>49</v>
      </c>
      <c r="B245" s="25" t="inlineStr">
        <is>
          <t>E</t>
        </is>
      </c>
      <c r="C245" s="25" t="inlineStr">
        <is>
          <t>po</t>
        </is>
      </c>
      <c r="D245" s="25" t="inlineStr">
        <is>
          <t>Pse Node.js nuk është zgjidhje ideale për detyra intensive CPU?</t>
        </is>
      </c>
      <c r="E245" s="25" t="inlineStr">
        <is>
          <t>Për shkak të natyrës single-threaded: enkriptimi i rëndë, përpunimi i videove apo llogaritjet komplekse bllokojnë Event Loop-in dhe ngadalësojnë kërkesat e tjera; burimi: Node.js.pdf, f. 2</t>
        </is>
      </c>
      <c r="F245" s="25" t="n">
        <v>4</v>
      </c>
      <c r="G245" s="25" t="inlineStr">
        <is>
          <t>## Pse Node.js nuk është zgjidhje ideale për detyra intensive CPU?
Node.js nuk është zgjidhja ideale për detyra intensive CPU për shkak të natyrës së tij single-threaded. Kjo do të thotë se Node.js ekzekuton një vetëm një proces në një kohë, duke përdorur një Event Loop për të menaxhuar kërkesat. Kur një detyrë intensive CPU, si enkriptimi i rëndë, përpunimi i videove ose llogaritjet komplekse matematikore, ekzekutohet, ajo mund të bllokojë Event Loop-in. Kjo bllokim ndalon përpunimin e kërkesave të tjera dhe ngadalëson përgjigjen e aplikacionit, duke e bërë atë të papërshtatshëm për aplikacione që kërkojnë performancë të lartë dhe reagim të shpejtë (Burimi: Node.js.pdf, f. 2).
Për këtë arsye, Node.js është më i përshtatshëm për aplikacione që kërkojnë përpunim në kohë reale dhe ngarkesë të lartë I/O, si REST APIs, shërbime GraphQL, dhe aplikacione në kohë reale si chatbot-e dhe lojëra shumë-përdoruesish (Burimi: Node.js.pdf, f. 2).
## Burimet
- Burimi: Node.js.pdf, faqja 2
- Burimi: Master i Shkencave në Teknologji Informacioni, faqja 1</t>
        </is>
      </c>
      <c r="H245" s="25" t="inlineStr">
        <is>
          <t>Node.js.pdf (f. 2) | MSc_-Teknologji-Informacioni.pdf (f. 1)</t>
        </is>
      </c>
      <c r="I245" s="25" t="n">
        <v>9.5</v>
      </c>
      <c r="J245" s="26" t="inlineStr">
        <is>
          <t>E saktë</t>
        </is>
      </c>
      <c r="K245" s="26" t="inlineStr">
        <is>
          <t>jo</t>
        </is>
      </c>
      <c r="L245" s="25" t="inlineStr">
        <is>
          <t>Përgjigje e saktë; fjali pak e lëshuar ('një vetëm një proces').</t>
        </is>
      </c>
    </row>
    <row r="246" ht="191.75" customHeight="1" s="19">
      <c r="A246" s="25" t="n">
        <v>49</v>
      </c>
      <c r="B246" s="25" t="inlineStr">
        <is>
          <t>E</t>
        </is>
      </c>
      <c r="C246" s="25" t="inlineStr">
        <is>
          <t>po</t>
        </is>
      </c>
      <c r="D246" s="25" t="inlineStr">
        <is>
          <t>Pse Node.js nuk është zgjidhje ideale për detyra intensive CPU?</t>
        </is>
      </c>
      <c r="E246" s="25" t="inlineStr">
        <is>
          <t>Për shkak të natyrës single-threaded: enkriptimi i rëndë, përpunimi i videove apo llogaritjet komplekse bllokojnë Event Loop-in dhe ngadalësojnë kërkesat e tjera; burimi: Node.js.pdf, f. 2</t>
        </is>
      </c>
      <c r="F246" s="25" t="n">
        <v>5</v>
      </c>
      <c r="G246" s="25" t="inlineStr">
        <is>
          <t>## Pse Node.js nuk është zgjidhje ideale për detyra intensive CPU?
Node.js nuk është zgjidhja ideale për detyra intensive CPU për shkak të natyrës së tij single-threaded. Kjo do të thotë se Node.js ekzekuton një kod në një vetëm thread, dhe kur ndodhin operacione që kërkojnë shumë burime të CPU-së, si enkriptimi i rëndë, përpunimi i videove ose llogaritjet komplekse matematikore, ato mund të bllokojnë Event Loop-in. Kjo bllokim ndodh sepse Node.js nuk mund të trajtojë kërkesa të tjera derisa operacioni intensiv të përfundojë, duke ngadalësuar kështu të gjitha kërkesat e tjera që vijnë në të njëjtën kohë (Burimi: Node.js.pdf, f. 2).
Për këtë arsye, për detyra që kërkojnë përpunim të rëndë në CPU, është më e përshtatshme të përdoren teknologji të tjera që mbështesin shumë-threading ose që janë të optimizuara për lloje të tilla operacionesh.
## Burimet
- Burimi: Node.js.pdf, faqja 2
- Burimi: Master i Shkencave në Teknologji Informacioni, faqja 1</t>
        </is>
      </c>
      <c r="H246" s="25" t="inlineStr">
        <is>
          <t>Node.js.pdf (f. 2) | MSc_-Teknologji-Informacioni.pdf (f. 1)</t>
        </is>
      </c>
      <c r="I246" s="25" t="n">
        <v>6.69</v>
      </c>
      <c r="J246" s="26" t="inlineStr">
        <is>
          <t>E saktë</t>
        </is>
      </c>
      <c r="K246" s="26" t="inlineStr">
        <is>
          <t>jo</t>
        </is>
      </c>
      <c r="L246" s="25" t="n"/>
    </row>
    <row r="247" ht="57.45" customHeight="1" s="19">
      <c r="A247" s="23" t="n">
        <v>50</v>
      </c>
      <c r="B247" s="23" t="inlineStr">
        <is>
          <t>E</t>
        </is>
      </c>
      <c r="C247" s="23" t="inlineStr">
        <is>
          <t>po</t>
        </is>
      </c>
      <c r="D247" s="23" t="inlineStr">
        <is>
          <t>Po hooks?</t>
        </is>
      </c>
      <c r="E247" s="23" t="inlineStr">
        <is>
          <t>E kupton si hooks në React: funksione të prezantuara në React 16.8 që lejojnë komponentët funksionalë të përdorin state; useState, useEffect, useContext; burimi: React.js.pdf, f. 2</t>
        </is>
      </c>
      <c r="F247" s="23" t="n">
        <v>1</v>
      </c>
      <c r="G247" s="23" t="inlineStr">
        <is>
          <t>(Teksti i përgjigjes së ekzekutimit origjinal nuk është i disponueshëm – vlerësimi është marrë nga Shtojca A.)</t>
        </is>
      </c>
      <c r="H247" s="23" t="n"/>
      <c r="I247" s="23" t="n">
        <v>7.58</v>
      </c>
      <c r="J247" s="24" t="inlineStr">
        <is>
          <t>Pjesërisht e saktë</t>
        </is>
      </c>
      <c r="K247" s="24" t="inlineStr">
        <is>
          <t>jo</t>
        </is>
      </c>
      <c r="L247" s="23" t="n"/>
    </row>
    <row r="248" ht="337.3" customHeight="1" s="19">
      <c r="A248" s="25" t="n">
        <v>50</v>
      </c>
      <c r="B248" s="25" t="inlineStr">
        <is>
          <t>E</t>
        </is>
      </c>
      <c r="C248" s="25" t="inlineStr">
        <is>
          <t>po</t>
        </is>
      </c>
      <c r="D248" s="25" t="inlineStr">
        <is>
          <t>Po hooks?</t>
        </is>
      </c>
      <c r="E248" s="25" t="inlineStr">
        <is>
          <t>E kupton si hooks në React: funksione të prezantuara në React 16.8 që lejojnë komponentët funksionalë të përdorin state; useState, useEffect, useContext; burimi: React.js.pdf, f. 2</t>
        </is>
      </c>
      <c r="F248" s="25" t="n">
        <v>2</v>
      </c>
      <c r="G248" s="25" t="inlineStr">
        <is>
          <t>## Informacion mbi lëndën
- **Emri i lëndës**: Zhvillim Webi: aplikime dhe programim
- **ECTS**: 10 ECTS
- **Viti**: 2
- **Semestri**: 2
- **Kategoria**: Lëndë karakterizuese
- **Specializimi**: Master i Shkencave në Teknologji Informacioni (Burimi: Master i Shkencave në Teknologji Informacioni, f. 1).
### Çfarë janë Hooks në React?
Nuk kam materiale të lëndës në bazën e njohurive; kjo është përmbajtje e përgjithshme për temën, jo nga materialet e lëndës.
Hooks janë funksione speciale të prezantuara në React 16.8 që u lejojnë komponentëve funksionalë të përdorin state dhe veçori të tjera të React. Disa nga hooks më të përdorur janë:
- **useState**: Përdoret për menaxhimin e gjendjes lokale të komponentit.
- **useEffect**: Përdoret për ekzekutimin e efekteve anësore, si marrja e të dhënave nga API ose abonimet.
- **useContext**: Përdoret për qasje të drejtpërdrejtë në kontekstin global pa kaluar props në çdo nivel.
Hooks ndihmojnë në thjeshtimin e menaxhimit të gjendjes dhe efekteve anësore në aplikacionet React, duke e bërë kodin më të pastër dhe më të lehtë për t'u menaxhuar.
## Burimet
- Burimi: Master i Shkencave në Teknologji Informacioni, faqja 1</t>
        </is>
      </c>
      <c r="H248" s="25" t="inlineStr">
        <is>
          <t>MSc_-Teknologji-Informacioni.pdf (f. 1)</t>
        </is>
      </c>
      <c r="I248" s="25" t="n">
        <v>6.6</v>
      </c>
      <c r="J248" s="26" t="inlineStr">
        <is>
          <t>Pjesërisht e saktë</t>
        </is>
      </c>
      <c r="K248" s="26" t="inlineStr">
        <is>
          <t>po</t>
        </is>
      </c>
      <c r="L248" s="25" t="inlineStr">
        <is>
          <t>Hooks shpjegohet saktë (React 16.8, useState, useEffect, useContext), por thotë se nuk ka materiale të lëndës kur React.js.pdf ekziston; pyetja 'Po hooks?' trajtohet si lëndë e re dhe shfaqet bllok i panevojshëm informacioni mbi lëndën; burimi i cituar është vetëm plani, jo React.js.pdf.</t>
        </is>
      </c>
    </row>
    <row r="249" ht="370.85" customHeight="1" s="19">
      <c r="A249" s="27" t="n">
        <v>50</v>
      </c>
      <c r="B249" s="27" t="inlineStr">
        <is>
          <t>E</t>
        </is>
      </c>
      <c r="C249" s="27" t="inlineStr">
        <is>
          <t>po</t>
        </is>
      </c>
      <c r="D249" s="27" t="inlineStr">
        <is>
          <t>Po hooks?</t>
        </is>
      </c>
      <c r="E249" s="27" t="inlineStr">
        <is>
          <t>E kupton si hooks në React: funksione të prezantuara në React 16.8 që lejojnë komponentët funksionalë të përdorin state; useState, useEffect, useContext; burimi: React.js.pdf, f. 2</t>
        </is>
      </c>
      <c r="F249" s="27" t="n">
        <v>3</v>
      </c>
      <c r="G249" s="27" t="inlineStr">
        <is>
          <t>## Informacion mbi lëndën
- **Emërtimi i lëndës**: Zhvillim Webi: aplikime dhe programim
- **ECTS**: 10
- **Viti**: 2
- **Semestri**: 2
- **Kategoria**: Lëndë karakterizuese
- **Specializimi**: Master i Shkencave në Teknologji Informacioni (Burimi: Master i Shkencave në Teknologji Informacioni, f. 1)
Përshkrimi, temat dhe objektivat e të nxënit nuk janë të disponueshme në burimet e ngarkuara.
## Çfarë janë Hooks në React?
Nuk kam materiale të lëndës në bazën e njohurive; kjo është përmbajtje e përgjithshme për temën, jo nga materialet e lëndës.
Hooks janë funksione speciale të prezantuara në React 16.8 që lejojnë komponentëve funksionalë të përdorin state dhe veçori të tjera të React. Disa nga hooks më të përdorur janë:
- **useState**: Përdoret për menaxhimin e gjendjes lokale të një komponenti.
- **useEffect**: Përdoret për ekzekutimin e efekteve anësore, si p.sh. marrja e të dhënave nga një API ose menaxhimi i abonimeve.
- **useContext**: Lejon qasje të drejtpërdrejtë në kontekstin global pa kaluar props në çdo nivel.
Hooks ndihmojnë në thjeshtimin e menaxhimit të gjendjes dhe efekteve anësore në aplikacionet React, duke e bërë kodin më të pastër dhe më të lehtë për t'u menaxhuar.
## Burimet
- Burimi: Master i Shkencave në Teknologji Informacioni, faqja 1</t>
        </is>
      </c>
      <c r="H249" s="27" t="inlineStr">
        <is>
          <t>MSc_-Teknologji-Informacioni.pdf (f. 1)</t>
        </is>
      </c>
      <c r="I249" s="27" t="n">
        <v>7.58</v>
      </c>
      <c r="J249" s="27">
        <f>J248</f>
        <v/>
      </c>
      <c r="K249" s="27">
        <f>K248</f>
        <v/>
      </c>
      <c r="L249" s="27" t="inlineStr">
        <is>
          <t>Pothuajse identike me ekzekutimin 2</t>
        </is>
      </c>
    </row>
    <row r="250" ht="337.3" customHeight="1" s="19">
      <c r="A250" s="27" t="n">
        <v>50</v>
      </c>
      <c r="B250" s="27" t="inlineStr">
        <is>
          <t>E</t>
        </is>
      </c>
      <c r="C250" s="27" t="inlineStr">
        <is>
          <t>po</t>
        </is>
      </c>
      <c r="D250" s="27" t="inlineStr">
        <is>
          <t>Po hooks?</t>
        </is>
      </c>
      <c r="E250" s="27" t="inlineStr">
        <is>
          <t>E kupton si hooks në React: funksione të prezantuara në React 16.8 që lejojnë komponentët funksionalë të përdorin state; useState, useEffect, useContext; burimi: React.js.pdf, f. 2</t>
        </is>
      </c>
      <c r="F250" s="27" t="n">
        <v>4</v>
      </c>
      <c r="G250" s="27" t="inlineStr">
        <is>
          <t>## Informacion mbi lëndën
- **Emri i lëndës**: Zhvillim Webi: aplikime dhe programim
- **ECTS**: 10 ECTS
- **Viti**: 2
- **Semestri**: 2
- **Kategoria**: Lëndë karakterizuese
- **Specializimi**: Master i Shkencave në Teknologji Informacioni (Burimi: Master i Shkencave në Teknologji Informacioni, f. 1)
### Çfarë janë Hooks në React?
Nuk kam materiale të lëndës në bazën e njohurive; kjo është përmbajtje e përgjithshme për temën, jo nga materialet e lëndës.
Hooks janë funksione speciale të prezantuara në React 16.8 që u lejojnë komponentëve funksionalë të përdorin state dhe veçori të tjera të React. Disa nga hooks më të përdorur janë:
- **useState**: Përdoret për menaxhimin e gjendjes lokale të një komponenti.
- **useEffect**: Përdoret për ekzekutimin e efekteve anësore, si p.sh. marrja e të dhënave nga një API ose menaxhimi i abonimeve.
- **useContext**: Lejon qasje të drejtpërdrejtë në kontekstin global pa kaluar props në çdo nivel.
Hooks ndihmojnë në thjeshtimin e menaxhimit të gjendjes dhe efekteve anësore në aplikacionet React, duke e bërë kodin më të pastër dhe më të lehtë për t'u menaxhuar.
## Burimet
- Burimi: Master i Shkencave në Teknologji Informacioni, faqja 1</t>
        </is>
      </c>
      <c r="H250" s="27" t="inlineStr">
        <is>
          <t>MSc_-Teknologji-Informacioni.pdf (f. 1)</t>
        </is>
      </c>
      <c r="I250" s="27" t="n">
        <v>8.609999999999999</v>
      </c>
      <c r="J250" s="27">
        <f>J248</f>
        <v/>
      </c>
      <c r="K250" s="27">
        <f>K248</f>
        <v/>
      </c>
      <c r="L250" s="27" t="inlineStr">
        <is>
          <t>Pothuajse identike me ekzekutimin 2</t>
        </is>
      </c>
    </row>
    <row r="251" ht="348.5" customHeight="1" s="19">
      <c r="A251" s="27" t="n">
        <v>50</v>
      </c>
      <c r="B251" s="27" t="inlineStr">
        <is>
          <t>E</t>
        </is>
      </c>
      <c r="C251" s="27" t="inlineStr">
        <is>
          <t>po</t>
        </is>
      </c>
      <c r="D251" s="27" t="inlineStr">
        <is>
          <t>Po hooks?</t>
        </is>
      </c>
      <c r="E251" s="27" t="inlineStr">
        <is>
          <t>E kupton si hooks në React: funksione të prezantuara në React 16.8 që lejojnë komponentët funksionalë të përdorin state; useState, useEffect, useContext; burimi: React.js.pdf, f. 2</t>
        </is>
      </c>
      <c r="F251" s="27" t="n">
        <v>5</v>
      </c>
      <c r="G251" s="27" t="inlineStr">
        <is>
          <t>## Informacion mbi lëndën
- **Emri i lëndës**: Zhvillim Webi: aplikime dhe programim
- **ECTS**: 10
- **Viti**: 2
- **Semestri**: 2
- **Kategoria**: Lëndë karakterizuese
- **Specializimi**: Master i Shkencave në Teknologji Informacioni (Burimi: Master i Shkencave në Teknologji Informacioni, f. 1)
### Çfarë janë Hooks në React?
Nuk kam materiale të lëndës në bazën e njohurive; kjo është përmbajtje e përgjithshme për temën, jo nga materialet e lëndës. 
Hooks janë funksione speciale të prezantuara në React 16.8 që u lejojnë komponentëve funksionalë të përdorin state dhe veçori të tjera të React. Disa nga hooks më të përdorur janë:
- **useState**: Përdoret për menaxhimin e gjendjes lokale të një komponenti.
- **useEffect**: Përdoret për ekzekutimin e efekteve anësore, si p.sh. marrja e të dhënave nga një API ose menaxhimi i abonimeve.
- **useContext**: Lejon qasje të drejtpërdrejtë në kontekstin global pa kaluar props në çdo nivel.
Hooks ndihmojnë në thjeshtimin e menaxhimit të gjendjes dhe efekteve anësore në aplikacionet React, duke e bërë kodin më të lexueshëm dhe më të lehtë për t'u menaxhuar.
## Burimet
- Burimi: Master i Shkencave në Teknologji Informacioni, faqja 1</t>
        </is>
      </c>
      <c r="H251" s="27" t="inlineStr">
        <is>
          <t>MSc_-Teknologji-Informacioni.pdf (f. 1)</t>
        </is>
      </c>
      <c r="I251" s="27" t="n">
        <v>7.01</v>
      </c>
      <c r="J251" s="27">
        <f>J248</f>
        <v/>
      </c>
      <c r="K251" s="27">
        <f>K248</f>
        <v/>
      </c>
      <c r="L251" s="27" t="inlineStr">
        <is>
          <t>Pothuajse identike me ekzekutimin 2</t>
        </is>
      </c>
    </row>
    <row r="252" ht="68.65000000000001" customHeight="1" s="19">
      <c r="A252" s="23" t="n">
        <v>51</v>
      </c>
      <c r="B252" s="23" t="inlineStr">
        <is>
          <t>E</t>
        </is>
      </c>
      <c r="C252" s="23" t="inlineStr">
        <is>
          <t>po</t>
        </is>
      </c>
      <c r="D252" s="23" t="inlineStr">
        <is>
          <t>Më bëj një quiz për lëndën Zhvillim Webi: aplikime dhe programim.</t>
        </is>
      </c>
      <c r="E252" s="23" t="inlineStr">
        <is>
          <t>8 pyetje të përziera (zgjedhje e shumëfishtë, E vërtetë/E gabuar, përgjigje e shkurtër) vetëm nga materialet (JavaScript, Node.js, Express.js, React.js); përgjigjet në fund; pa fakte jashtë materialeve</t>
        </is>
      </c>
      <c r="F252" s="23" t="n">
        <v>1</v>
      </c>
      <c r="G252" s="23" t="inlineStr">
        <is>
          <t>(Teksti i përgjigjes së ekzekutimit origjinal nuk është i disponueshëm – vlerësimi është marrë nga Shtojca A.)</t>
        </is>
      </c>
      <c r="H252" s="23" t="n"/>
      <c r="I252" s="23" t="n">
        <v>7.05</v>
      </c>
      <c r="J252" s="24" t="inlineStr">
        <is>
          <t>E saktë</t>
        </is>
      </c>
      <c r="K252" s="24" t="inlineStr">
        <is>
          <t>jo</t>
        </is>
      </c>
      <c r="L252" s="23" t="n"/>
    </row>
    <row r="253" ht="796.25" customHeight="1" s="19">
      <c r="A253" s="25" t="n">
        <v>51</v>
      </c>
      <c r="B253" s="25" t="inlineStr">
        <is>
          <t>E</t>
        </is>
      </c>
      <c r="C253" s="25" t="inlineStr">
        <is>
          <t>po</t>
        </is>
      </c>
      <c r="D253" s="25" t="inlineStr">
        <is>
          <t>Më bëj një quiz për lëndën Zhvillim Webi: aplikime dhe programim.</t>
        </is>
      </c>
      <c r="E253" s="25" t="inlineStr">
        <is>
          <t>8 pyetje të përziera (zgjedhje e shumëfishtë, E vërtetë/E gabuar, përgjigje e shkurtër) vetëm nga materialet (JavaScript, Node.js, Express.js, React.js); përgjigjet në fund; pa fakte jashtë materialeve</t>
        </is>
      </c>
      <c r="F253" s="25" t="n">
        <v>2</v>
      </c>
      <c r="G253" s="25" t="inlineStr">
        <is>
          <t>## Quiz për lëndën "Zhvillim Webi: aplikime dhe programim"
### Pyetjet
1. **Zgjedhje e shumëfishtë:** Cila nga kornizat e mëposhtme përdoret për zhvillimin e aplikacioneve frontend?
   - A) Express.js
   - B) React
   - C) Node.js
   - D) MongoDB
2. **E vërtetë/E gabuar:** JavaScript mund të përdoret për zhvillimin e aplikacioneve celulare.
   - A) E vërtetë
   - B) E gabuar
3. **Përgjigje e shkurtër:** Cila është një nga avantazhet e përdorimit të Node.js për zhvillimin e aplikacioneve backend?
4. **Zgjedhje e shumëfishtë:** Cila nga kornizat e mëposhtme është e njohur për ndihmën në ndërtimin e aplikacioneve të shpejta dhe të lehta në server?
   - A) Angular
   - B) Express.js
   - C) Vue.js
   - D) Svelte
5. **E vërtetë/E gabuar:** React.js është një kornizë për zhvillimin e aplikacioneve desktop.
   - A) E vërtetë
   - B) E gabuar
6. **Përgjigje e shkurtër:** Cili është roli i Express.js në zhvillimin e aplikacioneve web?
7. **Zgjedhje e shumëfishtë:** Cila nga kornizat e mëposhtme përdoret për ndërtimin e aplikacioneve mobile për iOS dhe Android?
   - A) React Native
   - B) Node.js
   - C) Electron
   - D) Angular
8. **E vërtetë/E gabuar:** JavaScript është një gjuhë programimi që përdoret vetëm në frontend.
   - A) E vërtetë
   - B) E gabuar
## Përgjigjet
1. **B) React** - React është një kornizë e njohur për zhvillimin e aplikacioneve frontend.
2. **A) E vërtetë** - JavaScript mund të përdoret për zhvillimin e aplikacioneve celulare duke përdorur korniza si React Native.
3. **Përgjigje:** Node.js lejon zhvillimin e aplikacioneve në JavaScript në server, duke mundësuar programimin asinkron dhe performancë të lartë.
4. **B) Express.js** - Express.js është një kornizë për zhvillimin e aplikacioneve web në server.
5. **B) E gabuar** - React.js është një kornizë për zhvillimin e aplikacioneve frontend, jo për aplikacione desktop.
6. **Përgjigje:** Express.js është një framework për Node.js që lehtëson krijimin e aplikacioneve web dhe API-ve duke ofruar një strukturë të thjeshtë për menaxhimin e rrugëve dhe kërkesave.
7. **A) React Native** - React Native është një kornizë e njohur për ndërtimin e aplikacioneve mobile për iOS dhe Android.
8. **B) E gabuar** - JavaScript përdoret si në frontend ashtu edhe në backend (p.sh. me Node.js).
## Burimet
- Burimi: Hyrje ne Javascript.pdf
- Burimi: Express.js.pdf
- Burimi: Node.js.pdf
- Burimi: Master i Shkencave në Teknologji Informacioni, faqja 1</t>
        </is>
      </c>
      <c r="H253" s="25" t="inlineStr">
        <is>
          <t>Hyrje ne Javascript.pdf | Express.js.pdf | Node.js.pdf | MSc_-Teknologji-Informacioni.pdf (f. 1)</t>
        </is>
      </c>
      <c r="I253" s="25" t="n">
        <v>8.75</v>
      </c>
      <c r="J253" s="26" t="inlineStr">
        <is>
          <t>E saktë</t>
        </is>
      </c>
      <c r="K253" s="26" t="inlineStr">
        <is>
          <t>jo</t>
        </is>
      </c>
      <c r="L253" s="25" t="inlineStr">
        <is>
          <t>8 pyetje të përziera (zgjedhje, E vërtetë/E gabuar, përgjigje e shkurtër) me përgjigje në fund, brenda temës.</t>
        </is>
      </c>
    </row>
    <row r="254" ht="885.8" customHeight="1" s="19">
      <c r="A254" s="25" t="n">
        <v>51</v>
      </c>
      <c r="B254" s="25" t="inlineStr">
        <is>
          <t>E</t>
        </is>
      </c>
      <c r="C254" s="25" t="inlineStr">
        <is>
          <t>po</t>
        </is>
      </c>
      <c r="D254" s="25" t="inlineStr">
        <is>
          <t>Më bëj një quiz për lëndën Zhvillim Webi: aplikime dhe programim.</t>
        </is>
      </c>
      <c r="E254" s="25" t="inlineStr">
        <is>
          <t>8 pyetje të përziera (zgjedhje e shumëfishtë, E vërtetë/E gabuar, përgjigje e shkurtër) vetëm nga materialet (JavaScript, Node.js, Express.js, React.js); përgjigjet në fund; pa fakte jashtë materialeve</t>
        </is>
      </c>
      <c r="F254" s="25" t="n">
        <v>3</v>
      </c>
      <c r="G254" s="25" t="inlineStr">
        <is>
          <t>## Quiz për lëndën "Zhvillim Webi: aplikime dhe programim"
### Pyetjet
1. **Zgjedhje e shumëfishtë**: Cila nga kornizat e mëposhtme përdoret për zhvillimin e aplikacioneve frontend?
   - A) Express.js
   - B) React
   - C) Node.js
   - D) JavaScript
2. **E vërtetë/E gabuar**: JavaScript mund të përdoret për zhvillimin e aplikacioneve celulare përmes kornizave si React Native.
   - A) E vërtetë
   - B) E gabuar
3. **Përgjigje e shkurtër**: Cili është mjedisi që mundëson përdorimin e JavaScript në backend?
4. **Zgjedhje e shumëfishtë**: Cila nga kornizat e mëposhtme është e njohur për zhvillimin e aplikacioneve server-side?
   - A) Angular
   - B) Vue.js
   - C) Express.js
   - D) Svelte
5. **E vërtetë/E gabuar**: Node.js është një mjedis që lejon ekzekutimin e JavaScript në shfletues.
   - A) E vërtetë
   - B) E gabuar
6. **Përgjigje e shkurtër**: Cila është një nga avantazhet e përdorimit të JavaScript në zhvillimin e aplikacioneve desktop?
7. **Zgjedhje e shumëfishtë**: Cila nga kornizat e mëposhtme përdoret për ndërtimin e aplikacioneve të shpërndara?
   - A) React
   - B) Express.js
   - C) NestJS
   - D) Tauri
8. **E vërtetë/E gabuar**: JavaScript është një gjuhë programimi që përdoret vetëm në frontend.
   - A) E vërtetë
   - B) E gabuar
## Përgjigjet
1. **B) React** - React është një kornizë e njohur për zhvillimin e aplikacioneve frontend (Burimi: Hyrje ne Javascript.pdf, f. 3).
2. **A) E vërtetë** - JavaScript mund të përdoret për zhvillimin e aplikacioneve celulare përmes kornizave si React Native (Burimi: Hyrje ne Javascript.pdf, f. 2).
3. **Node.js** - Node.js është mjedisi që mundëson përdorimin e JavaScript në backend (Burimi: Node.js.pdf, f. 3).
4. **C) Express.js** - Express.js është një kornizë e njohur për zhvillimin e aplikacioneve server-side (Burimi: Express.js.pdf, f. 3).
5. **B) E gabuar** - Node.js është një mjedis që lejon ekzekutimin e JavaScript në server, jo në shfletues (Burimi: Node.js.pdf, f. 3).
6. **Avantazhi i përdorimit të JavaScript në zhvillimin e aplikacioneve desktop është se mund të krijohen aplikacione të fuqishme dhe të ndërlidhura me internetin duke përdorur mjedise si Electron** (Burimi: Hyrje ne Javascript.pdf, f. 2).
7. **C) NestJS** - NestJS është një kornizë që përdoret për ndërtimin e aplikacioneve të shpërndara (Burimi: Node.js.pdf, f. 3).
8. **B) E gabuar** - JavaScript përdoret në frontend dhe backend, duke e bërë atë një gjuhë shumë të fuqishme për zhvillimin e aplikacioneve (Burimi: Hyrje ne Javascript.pdf, f. 2).
## Burimet
- Burimi: Hyrje ne Javascript.pdf, faqja 2, 3
- Burimi: Express.js.pdf, faqja 3
- Burimi: Node.js.pdf, faqja 3
- Burimi: Master i Shkencave në Teknologji Informacioni, faqja 1</t>
        </is>
      </c>
      <c r="H254" s="25" t="inlineStr">
        <is>
          <t>Hyrje ne Javascript.pdf (f. 2, 3) | Express.js.pdf (f. 3) | Node.js.pdf (f. 3) | MSc_-Teknologji-Informacioni.pdf (f. 1)</t>
        </is>
      </c>
      <c r="I254" s="25" t="n">
        <v>8.82</v>
      </c>
      <c r="J254" s="26" t="inlineStr">
        <is>
          <t>E saktë</t>
        </is>
      </c>
      <c r="K254" s="26" t="inlineStr">
        <is>
          <t>jo</t>
        </is>
      </c>
      <c r="L254" s="25" t="inlineStr">
        <is>
          <t>8 pyetje të përziera (zgjedhje, E vërtetë/E gabuar, përgjigje e shkurtër) me përgjigje në fund, brenda temës.</t>
        </is>
      </c>
    </row>
    <row r="255" ht="807.45" customHeight="1" s="19">
      <c r="A255" s="25" t="n">
        <v>51</v>
      </c>
      <c r="B255" s="25" t="inlineStr">
        <is>
          <t>E</t>
        </is>
      </c>
      <c r="C255" s="25" t="inlineStr">
        <is>
          <t>po</t>
        </is>
      </c>
      <c r="D255" s="25" t="inlineStr">
        <is>
          <t>Më bëj një quiz për lëndën Zhvillim Webi: aplikime dhe programim.</t>
        </is>
      </c>
      <c r="E255" s="25" t="inlineStr">
        <is>
          <t>8 pyetje të përziera (zgjedhje e shumëfishtë, E vërtetë/E gabuar, përgjigje e shkurtër) vetëm nga materialet (JavaScript, Node.js, Express.js, React.js); përgjigjet në fund; pa fakte jashtë materialeve</t>
        </is>
      </c>
      <c r="F255" s="25" t="n">
        <v>4</v>
      </c>
      <c r="G255" s="25" t="inlineStr">
        <is>
          <t>## Quiz për lëndën "Zhvillim Webi: aplikime dhe programim"
### Pyetjet
1. **Zgjedhje e shumëfishtë:** Cila nga kornizat e mëposhtme përdoret për zhvillimin e aplikacioneve frontend?
   - A) Express.js
   - B) React
   - C) Node.js
   - D) JavaScript
2. **E vërtetë/E gabuar:** JavaScript mund të përdoret për zhvillimin e aplikacioneve celulare.
   - A) E vërtetë
   - B) E gabuar
3. **Përgjigje e shkurtër:** Cila është një nga avantazhet e përdorimit të Node.js për zhvillimin e aplikacioneve backend?
4. **Zgjedhje e shumëfishtë:** Cila nga kornizat e mëposhtme është e njohur për zhvillimin e aplikacioneve të serverit?
   - A) Angular
   - B) Vue.js
   - C) Express.js
   - D) Svelte
5. **E vërtetë/E gabuar:** React Native përdoret për zhvillimin e aplikacioneve desktop.
   - A) E vërtetë
   - B) E gabuar
6. **Përgjigje e shkurtër:** Cila është një nga karakteristikat kryesore të programimit asinkron në JavaScript?
7. **Zgjedhje e shumëfishtë:** Cila nga mjediset e mëposhtme është përdorur për të ndërtuar aplikacione desktop?
   - A) Electron
   - B) React
   - C) Angular
   - D) Express.js
8. **E vërtetë/E gabuar:** JavaScript është një gjuhë programimi që mund të përdoret vetëm në frontend.
   - A) E vërtetë
   - B) E gabuar
## Përgjigjet
1. **B) React** - React është një kornizë e njohur për zhvillimin e aplikacioneve frontend.
2. **A) E vërtetë** - JavaScript mund të përdoret për zhvillimin e aplikacioneve celulare, sidomos me korniza si React Native.
3. **Përgjigje:** Një nga avantazhet e Node.js është se lejon zhvillimin e aplikacioneve me performancë të lartë dhe me një model asinkron, duke e bërë më të lehtë menaxhimin e shumë kërkesave në të njëjtën kohë.
4. **C) Express.js** - Express.js është një kornizë e njohur për zhvillimin e aplikacioneve backend.
5. **B) E gabuar** - React Native përdoret për zhvillimin e aplikacioneve celulare, jo desktop.
6. **Përgjigje:** Një nga karakteristikat kryesore të programimit asinkron në JavaScript është aftësia për të ekzekutuar kodin pa bllokuar ekzekutimin e pjesëve të tjera të programit.
7. **A) Electron** - Electron është një mjedis që përdoret për të ndërtuar aplikacione desktop.
8. **B) E gabuar** - JavaScript mund të përdoret si në frontend ashtu edhe në backend, përmes Node.js.
## Burimet
- Burimi: Hyrje ne Javascript.pdf
- Burimi: Express.js.pdf
- Burimi: Node.js.pdf
- Burimi: Master i Shkencave në Teknologji Informacioni, faqja 1</t>
        </is>
      </c>
      <c r="H255" s="25" t="inlineStr">
        <is>
          <t>Hyrje ne Javascript.pdf | Express.js.pdf | Node.js.pdf | MSc_-Teknologji-Informacioni.pdf (f. 1)</t>
        </is>
      </c>
      <c r="I255" s="25" t="n">
        <v>10.55</v>
      </c>
      <c r="J255" s="26" t="inlineStr">
        <is>
          <t>E saktë</t>
        </is>
      </c>
      <c r="K255" s="26" t="inlineStr">
        <is>
          <t>jo</t>
        </is>
      </c>
      <c r="L255" s="25" t="inlineStr">
        <is>
          <t>8 pyetje të përziera (zgjedhje, E vërtetë/E gabuar, përgjigje e shkurtër) me përgjigje në fund, brenda temës.</t>
        </is>
      </c>
    </row>
    <row r="256" ht="919.4" customHeight="1" s="19">
      <c r="A256" s="25" t="n">
        <v>51</v>
      </c>
      <c r="B256" s="25" t="inlineStr">
        <is>
          <t>E</t>
        </is>
      </c>
      <c r="C256" s="25" t="inlineStr">
        <is>
          <t>po</t>
        </is>
      </c>
      <c r="D256" s="25" t="inlineStr">
        <is>
          <t>Më bëj një quiz për lëndën Zhvillim Webi: aplikime dhe programim.</t>
        </is>
      </c>
      <c r="E256" s="25" t="inlineStr">
        <is>
          <t>8 pyetje të përziera (zgjedhje e shumëfishtë, E vërtetë/E gabuar, përgjigje e shkurtër) vetëm nga materialet (JavaScript, Node.js, Express.js, React.js); përgjigjet në fund; pa fakte jashtë materialeve</t>
        </is>
      </c>
      <c r="F256" s="25" t="n">
        <v>5</v>
      </c>
      <c r="G256" s="25" t="inlineStr">
        <is>
          <t>## Quiz për lëndën "Zhvillim Webi: aplikime dhe programim"
### Pyetjet
1. **Zgjedhje e shumëfishtë**: Cila nga kornizat e mëposhtme përdoret për zhvillimin e aplikacioneve frontend?
   - A) Express.js
   - B) React
   - C) Node.js
   - D) SQL
2. **E vërtetë/E gabuar**: JavaScript mund të përdoret për zhvillimin e aplikacioneve celulare.
   - A) E vërtetë
   - B) E gabuar
3. **Zgjedhje e shumëfishtë**: Cila nga kornizat e mëposhtme është e njohur për zhvillimin e aplikacioneve backend?
   - A) Angular
   - B) Vue.js
   - C) Express.js
   - D) Svelte
4. **Përgjigje e shkurtër**: Cili është mjedisi që mundëson përdorimin e JavaScript për zhvillimin e aplikacioneve në server?
5. **Zgjedhje e shumëfishtë**: Cila nga kornizat e mëposhtme përdoret për zhvillimin e aplikacioneve desktop?
   - A) React Native
   - B) Electron
   - C) Angular
   - D) Node.js
6. **E vërtetë/E gabuar**: Deno është një mjedis i ri për zhvillimin e aplikacioneve JavaScript.
   - A) E vërtetë
   - B) E gabuar
7. **Zgjedhje e shumëfishtë**: Cila nga kornizat e mëposhtme është e njohur për zhvillimin e aplikacioneve mobile?
   - A) Express.js
   - B) React Native
   - C) Node.js
   - D) Angular
8. **Përgjigje e shkurtër**: Cila është një nga avantazhet e përdorimit të programimit asinkron në JavaScript?
## Përgjigjet
1. **B) React** - React është një kornizë e njohur për zhvillimin e aplikacioneve frontend (Burimi: Hyrje ne Javascript.pdf, f. 2).
2. **A) E vërtetë** - JavaScript mund të përdoret për zhvillimin e aplikacioneve celulare duke përdorur korniza si React Native (Burimi: Hyrje ne Javascript.pdf, f. 2).
3. **C) Express.js** - Express.js është një kornizë e njohur për zhvillimin e aplikacioneve backend (Burimi: Express.js.pdf, f. 3).
4. **Node.js** - Node.js është mjedisi që mundëson përdorimin e JavaScript për zhvillimin e aplikacioneve në server (Burimi: Node.js.pdf, f. 3).
5. **B) Electron** - Electron është një mjedis që përdoret për zhvillimin e aplikacioneve desktop (Burimi: Hyrje ne Javascript.pdf, f. 2).
6. **A) E vërtetë** - Deno është një mjedis i ri për zhvillimin e aplikacioneve JavaScript (Burimi: Hyrje ne Javascript.pdf, f. 2).
7. **B) React Native** - React Native është e njohur për zhvillimin e aplikacioneve mobile (Burimi: Hyrje ne Javascript.pdf, f. 2).
8. **Përgjigje e mundshme**: Një nga avantazhet e programimit asinkron është se lejon ekzekutimin e kodit pa bllokuar ekzekutimin e pjesëve të tjera të programit, duke përmirësuar performancën dhe reagimin e aplikacioneve (Nuk kam materiale të lëndës në bazën e njohurive; kjo është përmbajtje e përgjithshme për temën, jo nga materialet e lëndës).
## Burimet
- Burimi: Hyrje ne Javascript.pdf, faqja 2
- Burimi: Express.js.pdf, faqja 3
- Burimi: Node.js.pdf, faqja 3
- Burimi: Master i Shkencave në Teknologji Informacioni, faqja 1</t>
        </is>
      </c>
      <c r="H256" s="25" t="inlineStr">
        <is>
          <t>Hyrje ne Javascript.pdf (f. 2) | Express.js.pdf (f. 3) | Node.js.pdf (f. 3) | MSc_-Teknologji-Informacioni.pdf (f. 1)</t>
        </is>
      </c>
      <c r="I256" s="25" t="n">
        <v>9.6</v>
      </c>
      <c r="J256" s="26" t="inlineStr">
        <is>
          <t>E saktë</t>
        </is>
      </c>
      <c r="K256" s="26" t="inlineStr">
        <is>
          <t>jo</t>
        </is>
      </c>
      <c r="L256" s="25" t="inlineStr">
        <is>
          <t>8 pyetje të përziera (zgjedhje, E vërtetë/E gabuar, përgjigje e shkurtër) me përgjigje në fund, brenda temës.</t>
        </is>
      </c>
    </row>
    <row r="257" ht="35.05" customHeight="1" s="19">
      <c r="A257" s="23" t="n">
        <v>52</v>
      </c>
      <c r="B257" s="23" t="inlineStr">
        <is>
          <t>E</t>
        </is>
      </c>
      <c r="C257" s="23" t="inlineStr">
        <is>
          <t>po</t>
        </is>
      </c>
      <c r="D257" s="23" t="inlineStr">
        <is>
          <t>Më krijo flashcards për lëndën Zhvillim Webi: aplikime dhe programim.</t>
        </is>
      </c>
      <c r="E257" s="23" t="inlineStr">
        <is>
          <t>10–15 karta Pyetje/Përgjigje nga materialet e lëndës</t>
        </is>
      </c>
      <c r="F257" s="23" t="n">
        <v>1</v>
      </c>
      <c r="G257" s="23" t="inlineStr">
        <is>
          <t>(Teksti i përgjigjes së ekzekutimit origjinal nuk është i disponueshëm – vlerësimi është marrë nga Shtojca A.)</t>
        </is>
      </c>
      <c r="H257" s="23" t="n"/>
      <c r="I257" s="23" t="n">
        <v>15.48</v>
      </c>
      <c r="J257" s="24" t="inlineStr">
        <is>
          <t>Pjesërisht e saktë</t>
        </is>
      </c>
      <c r="K257" s="24" t="inlineStr">
        <is>
          <t>jo</t>
        </is>
      </c>
      <c r="L257" s="23" t="n"/>
    </row>
    <row r="258" ht="1367.9" customHeight="1" s="19">
      <c r="A258" s="25" t="n">
        <v>52</v>
      </c>
      <c r="B258" s="25" t="inlineStr">
        <is>
          <t>E</t>
        </is>
      </c>
      <c r="C258" s="25" t="inlineStr">
        <is>
          <t>po</t>
        </is>
      </c>
      <c r="D258" s="25" t="inlineStr">
        <is>
          <t>Më krijo flashcards për lëndën Zhvillim Webi: aplikime dhe programim.</t>
        </is>
      </c>
      <c r="E258" s="25" t="inlineStr">
        <is>
          <t>10–15 karta Pyetje/Përgjigje nga materialet e lëndës</t>
        </is>
      </c>
      <c r="F258" s="25" t="n">
        <v>2</v>
      </c>
      <c r="G258" s="25" t="inlineStr">
        <is>
          <t>## Flashcards për lëndën "Zhvillim Webi: aplikime dhe programim"
**Flashcard 1**  
**Pyetje:** Çfarë është JavaScript dhe ku përdoret?  
**Përgjigje:** JavaScript është një gjuhë programimi që përdoret për të krijuar interaktivitet në uebfaqe. Përdoret në mjedise frontend (brenda shfletuesit) dhe backend (në server) për zhvillimin e aplikacioneve web.
---
**Flashcard 2**  
**Pyetje:** Cilat janë disa nga kornizat kryesore të JavaScript për frontend?  
**Përgjigje:** Kornizat kryesore për frontend përfshijnë React, Vue.js, Angular dhe Svelte.
---
**Flashcard 3**  
**Pyetje:** Çfarë është Node.js dhe për çfarë përdoret?  
**Përgjigje:** Node.js është një mjedis që lejon ekzekutimin e JavaScript në server. Përdoret për zhvillimin e aplikacioneve backend dhe mundëson programimin asinkron.
---
**Flashcard 4**  
**Pyetje:** Cilat janë disa nga kornizat kryesore për backend në JavaScript?  
**Përgjigje:** Kornizat kryesore për backend përfshijnë Express.js dhe NestJS.
---
**Flashcard 5**  
**Pyetje:** Si përdoret JavaScript në zhvillimin e aplikacioneve celulare?  
**Përgjigje:** JavaScript përdoret në zhvillimin e aplikacioneve celulare përmes kornizave si React Native dhe NativeScript, të cilat lejojnë ndërtimin e aplikacioneve për iOS dhe Android.
---
**Flashcard 6**  
**Pyetje:** Çfarë është Express.js?  
**Përgjigje:** Express.js është një kornizë për Node.js që lehtëson zhvillimin e aplikacioneve web dhe API-ve, duke ofruar një strukturë të thjeshtë për menaxhimin e kërkesave dhe përgjigjeve.
---
**Flashcard 7**  
**Pyetje:** Cili është roli i programimit asinkron në JavaScript?  
**Përgjigje:** Programimi asinkron lejon ekzekutimin e kodit pa bllokuar ekzekutimin e pjesëve të tjera të programit, duke përmirësuar performancën dhe reagueshmërinë e aplikacioneve.
---
**Flashcard 8**  
**Pyetje:** Cilat janë disa nga mjediset për zhvillimin e aplikacioneve desktop me JavaScript?  
**Përgjigje:** Mjediset për zhvillimin e aplikacioneve desktop përfshijnë Electron dhe Tauri, të cilat lejojnë ndërtimin e aplikacioneve për desktop duke përdorur teknologjitë web.
---
**Flashcard 9**  
**Pyetje:** Çfarë është React.js?  
**Përgjigje:** React.js është një bibliotekë JavaScript për ndërtimin e ndërfaqeve të përdoruesit, e cila lehtëson krijimin e aplikacioneve web me komponentë të ripërdorshëm.
---
**Flashcard 10**  
**Pyetje:** Si ndihmon JavaScript në krijimin e aplikacioneve interaktive?  
**Përgjigje:** JavaScript mundëson manipulimin e DOM-it (Document Object Model), duke lejuar zhvilluesit të krijojnë efekte interaktive dhe të reagojnë ndaj veprimeve të përdoruesve në kohë reale.
---
**Flashcard 11**  
**Pyetje:** Cili është qëllimi i përdorimit të kornizave si Vue.js?  
**Përgjigje:** Kornizat si Vue.js ndihmojnë në ndarjen e kodit në komponentë të menaxhueshëm, duke lehtësuar zhvillimin dhe mirëmbajtjen e aplikacioneve web.
---
**Flashcard 12**  
**Pyetje:** Çfarë është Deno?  
**Përgjigje:** Deno është një mjedis për ekzekutimin e JavaScript dhe TypeScript në server, i ndërtuar si një alternativë më të sigurt dhe moderne ndaj Node.js.
---
**Flashcard 13**  
**Pyetje:** Si ndihmon JavaScript në zhvillimin e aplikacioneve të shpërndara?  
**Përgjigje:** JavaScript përdoret për të ndërtuar aplikacione të shpërndara duke mundësuar komunikimin midis serverëve dhe klientëve përmes protokolleve si WebSocket.
---
**Flashcard 14**  
**Pyetje:** Cilat janë disa nga avantazhet e përdorimit të JavaScript në zhvillimin e aplikacioneve?  
**Përgjigje:** Avantazhet përfshijnë fleksibilitetin, mbështetje të gjerë nga komuniteti, mundësinë e zhvillimit të aplikacioneve për platforma të ndryshme dhe lehtësinë në integrimin me teknologji të tjera.
---
**Flashcard 15**  
**Pyetje:** Si ndihmon JavaScript në krijimin e aplikacioneve të menaxhimit të proceseve të biznesit?  
**Përgjigje:** JavaScript mundëson automatizimin e proceseve dhe krijimin e ndërfaqeve të përdoruesit që lehtësojnë menaxhimin dhe monitorimin e aktiviteteve të biznesit në kohë reale.
## Burimet
- Burimi: Hyrje ne Javascript.pdf
- Burimi: React.js.pdf
- Burimi: Express.js.pdf
- Burimi: Master i Shkencave në Teknologji Informacioni, faqja 1</t>
        </is>
      </c>
      <c r="H258" s="25" t="inlineStr">
        <is>
          <t>Hyrje ne Javascript.pdf | React.js.pdf | Express.js.pdf | MSc_-Teknologji-Informacioni.pdf (f. 1)</t>
        </is>
      </c>
      <c r="I258" s="25" t="n">
        <v>12.88</v>
      </c>
      <c r="J258" s="26" t="inlineStr">
        <is>
          <t>Pjesërisht e saktë</t>
        </is>
      </c>
      <c r="K258" s="26" t="inlineStr">
        <is>
          <t>po</t>
        </is>
      </c>
      <c r="L258" s="25" t="inlineStr">
        <is>
          <t>15 flashcards (në rregull si numër) por disa janë të përgjithshme dhe jashtë materialeve; karta 15 (JavaScript për menaxhimin e proceseve të biznesit) nuk mbështetet nga materialet.</t>
        </is>
      </c>
    </row>
    <row r="259" ht="1401.45" customHeight="1" s="19">
      <c r="A259" s="25" t="n">
        <v>52</v>
      </c>
      <c r="B259" s="25" t="inlineStr">
        <is>
          <t>E</t>
        </is>
      </c>
      <c r="C259" s="25" t="inlineStr">
        <is>
          <t>po</t>
        </is>
      </c>
      <c r="D259" s="25" t="inlineStr">
        <is>
          <t>Më krijo flashcards për lëndën Zhvillim Webi: aplikime dhe programim.</t>
        </is>
      </c>
      <c r="E259" s="25" t="inlineStr">
        <is>
          <t>10–15 karta Pyetje/Përgjigje nga materialet e lëndës</t>
        </is>
      </c>
      <c r="F259" s="25" t="n">
        <v>3</v>
      </c>
      <c r="G259" s="25" t="inlineStr">
        <is>
          <t>## Flashcards për lëndën "Zhvillim Webi: aplikime dhe programim"
**Flashcard 1**  
**Pyetje:** Çfarë është JavaScript dhe ku përdoret?  
**Përgjigje:** JavaScript është një gjuhë programimi që përdoret për të krijuar interaktivitet në faqet e internetit. Përdoret në mjedise frontend (brenda shfletuesit) dhe backend (në server) për zhvillimin e aplikacioneve web.
---
**Flashcard 2**  
**Pyetje:** Cilat janë disa nga kornizat kryesore për zhvillimin frontend me JavaScript?  
**Përgjigje:** Kornizat kryesore për zhvillimin frontend përfshijnë React, Vue.js, Angular dhe Svelte.
---
**Flashcard 3**  
**Pyetje:** Çfarë është Node.js dhe çfarë mundëson?  
**Përgjigje:** Node.js është një mjedis që lejon ekzekutimin e JavaScript në server. Ai mundëson zhvillimin e aplikacioneve backend dhe përdoret për të ndërtuar servera dhe aplikacione të ndryshme.
---
**Flashcard 4**  
**Pyetje:** Cilat janë disa nga kornizat kryesore për zhvillimin backend me JavaScript?  
**Përgjigje:** Kornizat kryesore për zhvillimin backend përfshijnë Express.js dhe NestJS.
---
**Flashcard 5**  
**Pyetje:** Si përdoret JavaScript në zhvillimin e aplikacioneve celulare?  
**Përgjigje:** JavaScript përdoret në zhvillimin e aplikacioneve celulare përmes kornizave si React Native dhe NativeScript, të cilat lejojnë ndërtimin e aplikacioneve për iOS dhe Android.
---
**Flashcard 6**  
**Pyetje:** Çfarë është Express.js?  
**Përgjigje:** Express.js është një kornizë për Node.js që lehtëson krijimin e aplikacioneve web dhe API-ve, duke ofruar një strukturë të thjeshtë për menaxhimin e kërkesave dhe përgjigjeve.
---
**Flashcard 7**  
**Pyetje:** Cilat janë disa nga aplikacionet desktop që përdorin JavaScript?  
**Përgjigje:** Aplikacionet desktop që përdorin JavaScript përfshijnë ato të ndërtuara me Electron dhe Tauri, si p.sh. VS Code dhe Discord.
---
**Flashcard 8**  
**Pyetje:** Çfarë është programimi asinkron në JavaScript?  
**Përgjigje:** Programimi asinkron në JavaScript lejon ekzekutimin e kodit pa bllokuar ekzekutimin e pjesëve të tjera të programit, duke përdorur mekanizma si Promises dhe async/await.
---
**Flashcard 9**  
**Pyetje:** Cili është roli i JavaScript në zhvillimin e aplikacioneve web?  
**Përgjigje:** JavaScript luan një rol të rëndësishëm në zhvillimin e aplikacioneve web duke ofruar interaktivitet, manipulim të DOM-it dhe komunikim me serverin përmes AJAX.
---
**Flashcard 10**  
**Pyetje:** Çfarë është React.js?  
**Përgjigje:** React.js është një bibliotekë JavaScript për ndërtimin e ndërfaqeve të përdoruesit, e cila lejon zhvilluesit të krijojnë komponente të ripërdorshme dhe të menaxhojnë gjendjen e aplikacioneve.
---
**Flashcard 11**  
**Pyetje:** Cili është qëllimi i përdorimit të kornizave si Vue.js dhe Angular?  
**Përgjigje:** Kornizat si Vue.js dhe Angular ndihmojnë në organizimin e kodit dhe ofrojnë funksionalitete të avancuara për zhvillimin e aplikacioneve web, duke lehtësuar menaxhimin e gjendjes dhe ndërveprimin me përdoruesit.
---
**Flashcard 12**  
**Pyetje:** Si ndihmon JavaScript në përmirësimin e përvojës së përdoruesit në aplikacionet web?  
**Përgjigje:** JavaScript ndihmon në përmirësimin e përvojës së përdoruesit duke ofruar interaktivitet, animacione dhe reagime të menjëhershme ndaj veprimeve të përdoruesve, duke e bërë aplikacionin më tërheqës dhe funksional.
---
**Flashcard 13**  
**Pyetje:** Çfarë është Deno?  
**Përgjigje:** Deno është një mjedis për ekzekutimin e JavaScript dhe TypeScript, i krijuar si një alternativë më të sigurt dhe më moderne ndaj Node.js.
---
**Flashcard 14**  
**Pyetje:** Cilat janë përfitimet e përdorimit të JavaScript në zhvillimin e aplikacioneve?  
**Përgjigje:** Përfitimet përfshijnë fleksibilitetin e përdorimit në frontend dhe backend, një ekosistem të pasur me biblioteka dhe korniza, si dhe mbështetje të gjerë nga komuniteti.
---
**Flashcard 15**  
**Pyetje:** Si ndihmon JavaScript në zhvillimin e aplikacioneve të shpërndara?  
**Përgjigje:** JavaScript, nëpërmjet Node.js dhe kornizave të tjera, lejon ndërtimin e aplikacioneve të shpërndara që mund të komunikojnë me njëra-tjetrën dhe të menaxhojnë të dhëna në kohë reale.
## Burimet
- Burimi: Hyrje ne Javascript.pdf
- Burimi: React.js.pdf
- Burimi: Express.js.pdf
- Burimi: Master i Shkencave në Teknologji Informacioni, faqja 1</t>
        </is>
      </c>
      <c r="H259" s="25" t="inlineStr">
        <is>
          <t>Hyrje ne Javascript.pdf | React.js.pdf | Express.js.pdf | MSc_-Teknologji-Informacioni.pdf (f. 1)</t>
        </is>
      </c>
      <c r="I259" s="25" t="n">
        <v>13.57</v>
      </c>
      <c r="J259" s="26" t="inlineStr">
        <is>
          <t>Pjesërisht e saktë</t>
        </is>
      </c>
      <c r="K259" s="26" t="inlineStr">
        <is>
          <t>jo</t>
        </is>
      </c>
      <c r="L259" s="25" t="inlineStr">
        <is>
          <t>15 flashcards, por pjesë e tyre janë përmbajtje e përgjithshme pa shënim dhe jo e lidhur me materialet (p.sh. HTML/CSS, SPA).</t>
        </is>
      </c>
    </row>
    <row r="260" ht="1311.9" customHeight="1" s="19">
      <c r="A260" s="25" t="n">
        <v>52</v>
      </c>
      <c r="B260" s="25" t="inlineStr">
        <is>
          <t>E</t>
        </is>
      </c>
      <c r="C260" s="25" t="inlineStr">
        <is>
          <t>po</t>
        </is>
      </c>
      <c r="D260" s="25" t="inlineStr">
        <is>
          <t>Më krijo flashcards për lëndën Zhvillim Webi: aplikime dhe programim.</t>
        </is>
      </c>
      <c r="E260" s="25" t="inlineStr">
        <is>
          <t>10–15 karta Pyetje/Përgjigje nga materialet e lëndës</t>
        </is>
      </c>
      <c r="F260" s="25" t="n">
        <v>4</v>
      </c>
      <c r="G260" s="25" t="inlineStr">
        <is>
          <t>## Flashcards për lëndën "Zhvillim Webi: aplikime dhe programim"
**Flashcard 1**  
**Pyetje:** Çfarë është JavaScript?  
**Përgjigje:** JavaScript është një gjuhë programimi që përdoret për të krijuar interaktivitet në faqet e internetit dhe është e integruar në shfletuesit.
---
**Flashcard 2**  
**Pyetje:** Cilat janë disa nga kornizat kryesore për zhvillimin frontend me JavaScript?  
**Përgjigje:** Kornizat kryesore për zhvillimin frontend përfshijnë React, Vue.js, Angular dhe Svelte.
---
**Flashcard 3**  
**Pyetje:** Si përdoret JavaScript në zhvillimin backend?  
**Përgjigje:** JavaScript përdoret në zhvillimin backend përmes mjedisit Node.js, që lejon krijimin e aplikacioneve server-side.
---
**Flashcard 4**  
**Pyetje:** Cilat janë disa nga kornizat e njohura për zhvillimin backend me JavaScript?  
**Përgjigje:** Kornizat e njohura për zhvillimin backend përfshijnë Express.js dhe NestJS.
---
**Flashcard 5**  
**Pyetje:** Si mund të përdoret JavaScript për aplikacione celulare?  
**Përgjigje:** JavaScript mund të përdoret për aplikacione celulare përmes kornizave si React Native dhe NativeScript.
---
**Flashcard 6**  
**Pyetje:** Cilat janë disa nga mjediset që përdoren për zhvillimin e aplikacioneve desktop me JavaScript?  
**Përgjigje:** Mjediset që përdoren për zhvillimin e aplikacioneve desktop përfshijnë Electron dhe Tauri.
---
**Flashcard 7**  
**Pyetje:** Çfarë është Node.js?  
**Përgjigje:** Node.js është një mjedis për ekzekutimin e JavaScript në server, që lejon zhvillimin e aplikacioneve backend.
---
**Flashcard 8**  
**Pyetje:** Cili është roli i Express.js në zhvillimin e aplikacioneve web?  
**Përgjigje:** Express.js është një kornizë për Node.js që lehtëson krijimin e aplikacioneve web dhe API-ve.
---
**Flashcard 9**  
**Pyetje:** Çfarë është React.js?  
**Përgjigje:** React.js është një bibliotekë JavaScript për ndërtimin e ndërfaqeve të përdoruesit, e cila lejon krijimin e komponentëve të rinj dhe të ripërdorshëm.
---
**Flashcard 10**  
**Pyetje:** Si funksionon programimi asinkron në JavaScript?  
**Përgjigje:** Programimi asinkron në JavaScript lejon ekzekutimin e kodit pa bllokuar ekzekutimin e pjesëve të tjera të programit, duke përdorur promesa dhe funksione asinkrone.
---
**Flashcard 11**  
**Pyetje:** Cila është rëndësia e mjedisit të zhvillimit për JavaScript?  
**Përgjigje:** Mjedisi i zhvillimit për JavaScript është i rëndësishëm për të mundësuar ekzekutimin e kodit në server dhe për të ndihmuar në krijimin e aplikacioneve të fuqishme dhe të shkallëzuara.
---
**Flashcard 12**  
**Pyetje:** Cilat janë disa nga avantazhet e përdorimit të JavaScript në zhvillimin web?  
**Përgjigje:** Avantazhet përfshijnë interaktivitetin e lartë, mbështetje të gjerë nga shfletuesit, dhe një ekosistem të pasur me biblioteka dhe korniza.
---
**Flashcard 13**  
**Pyetje:** Çfarë është një aplikacion web i ndërtuar me JavaScript?  
**Përgjigje:** Një aplikacion web i ndërtuar me JavaScript është një program që ekzekutohet në shfletues dhe ofron funksionalitete interaktive për përdoruesit.
---
**Flashcard 14**  
**Pyetje:** Si ndihmon JavaScript në përmirësimin e përvojës së përdoruesit në faqet e internetit?  
**Përgjigje:** JavaScript ndihmon në përmirësimin e përvojës së përdoruesit duke ofruar efekte vizuale, animacione dhe interaktivitet në kohë reale.
---
**Flashcard 15**  
**Pyetje:** Cila është lidhja midis JavaScript dhe HTML/CSS?  
**Përgjigje:** JavaScript punon së bashku me HTML dhe CSS për të krijuar faqe web dinamike, duke manipuluar strukturën dhe stilin e përmbajtjes.
## Burimet
- Burimi: Hyrje ne Javascript.pdf
- Burimi: React.js.pdf
- Burimi: Express.js.pdf
- Burimi: Master i Shkencave në Teknologji Informacioni, faqja 1</t>
        </is>
      </c>
      <c r="H260" s="25" t="inlineStr">
        <is>
          <t>Hyrje ne Javascript.pdf | React.js.pdf | Express.js.pdf | MSc_-Teknologji-Informacioni.pdf (f. 1)</t>
        </is>
      </c>
      <c r="I260" s="25" t="n">
        <v>24.61</v>
      </c>
      <c r="J260" s="26" t="inlineStr">
        <is>
          <t>Pjesërisht e saktë</t>
        </is>
      </c>
      <c r="K260" s="26" t="inlineStr">
        <is>
          <t>jo</t>
        </is>
      </c>
      <c r="L260" s="25" t="inlineStr">
        <is>
          <t>15 flashcards, por pjesë e tyre janë përmbajtje e përgjithshme pa shënim dhe jo e lidhur me materialet (p.sh. HTML/CSS, SPA).</t>
        </is>
      </c>
    </row>
    <row r="261" ht="1311.9" customHeight="1" s="19">
      <c r="A261" s="25" t="n">
        <v>52</v>
      </c>
      <c r="B261" s="25" t="inlineStr">
        <is>
          <t>E</t>
        </is>
      </c>
      <c r="C261" s="25" t="inlineStr">
        <is>
          <t>po</t>
        </is>
      </c>
      <c r="D261" s="25" t="inlineStr">
        <is>
          <t>Më krijo flashcards për lëndën Zhvillim Webi: aplikime dhe programim.</t>
        </is>
      </c>
      <c r="E261" s="25" t="inlineStr">
        <is>
          <t>10–15 karta Pyetje/Përgjigje nga materialet e lëndës</t>
        </is>
      </c>
      <c r="F261" s="25" t="n">
        <v>5</v>
      </c>
      <c r="G261" s="25" t="inlineStr">
        <is>
          <t>## Flashcards për lëndën "Zhvillim Webi: aplikime dhe programim"
**Flashcard 1**  
**Pyetje:** Çfarë është JavaScript?  
**Përgjigje:** JavaScript është një gjuhë programimi që përdoret për të krijuar interaktivitet në faqet e internetit, duke funksionuar kryesisht në mjedisin e frontend-it (client-side).
---
**Flashcard 2**  
**Pyetje:** Cilat janë disa nga kornizat kryesore për zhvillimin frontend me JavaScript?  
**Përgjigje:** Kornizat kryesore përfshijnë React, Vue.js, Angular dhe Svelte.
---
**Flashcard 3**  
**Pyetje:** Si përdoret JavaScript në backend?  
**Përgjigje:** JavaScript përdoret në backend përmes mjedisit Node.js, i cili lejon zhvillimin e aplikacioneve server-side.
---
**Flashcard 4**  
**Pyetje:** Cilat janë disa nga kornizat për zhvillimin backend me JavaScript?  
**Përgjigje:** Kornizat kryesore për backend përfshijnë Express.js dhe NestJS.
---
**Flashcard 5**  
**Pyetje:** Çfarë është React.js?  
**Përgjigje:** React.js është një bibliotekë JavaScript për ndërtimin e ndërfaqeve të përdoruesit, e cila lehtëson krijimin e aplikacioneve të një faqeje (SPA).
---
**Flashcard 6**  
**Pyetje:** Çfarë është Node.js?  
**Përgjigje:** Node.js është një mjedis ekzekutimi për JavaScript që lejon zhvillimin e aplikacioneve server-side dhe përdor një model asinkron për menaxhimin e kërkesave.
---
**Flashcard 7**  
**Pyetje:** Cilat janë disa nga përdorimet e JavaScript në aplikacione celulare?  
**Përgjigje:** JavaScript përdoret në aplikacione celulare përmes kornizave si React Native dhe NativeScript për të ndërtuar aplikacione për iOS dhe Android.
---
**Flashcard 8**  
**Pyetje:** Çfarë është Express.js?  
**Përgjigje:** Express.js është një kornizë për Node.js që ofron një set të thjeshtë dhe fleksibël për ndërtimin e aplikacioneve web dhe API-ve.
---
**Flashcard 9**  
**Pyetje:** Si përdoret JavaScript në aplikacione desktop?  
**Përgjigje:** JavaScript përdoret në aplikacione desktop përmes mjediseve si Electron dhe Tauri, të cilat lejojnë ndërtimin e aplikacioneve për Windows, Mac dhe Linux.
---
**Flashcard 10**  
**Pyetje:** Çfarë është programimi asinkron?  
**Përgjigje:** Programimi asinkron është një teknikë që lejon ekzekutimin e kodit pa bllokuar procesin kryesor, duke lejuar që operacione të tjera të vazhdojnë ndërkohë që pritet për rezultatet e një operacioni të gjatë.
---
**Flashcard 11**  
**Pyetje:** Cili është roli i JavaScript në zhvillimin e aplikacioneve web?  
**Përgjigje:** JavaScript luan një rol të rëndësishëm në zhvillimin e aplikacioneve web duke ofruar interaktivitet dhe dinamikë në faqet e internetit, si dhe duke mundësuar komunikimin me serverin.
---
**Flashcard 12**  
**Pyetje:** Çfarë është një aplikacion i një faqe?  
**Përgjigje:** Një aplikacion i një faqe (SPA) është një aplikacion web që ngarkohet një herë dhe pastaj përdor JavaScript për të menaxhuar përmbajtjen dhe ndërveprimin pa rifreskuar faqen.
---
**Flashcard 13**  
**Pyetje:** Cilat janë avantazhet e përdorimit të JavaScript në zhvillimin e aplikacioneve?  
**Përgjigje:** Avantazhet përfshijnë lehtësinë e përdorimit, fleksibilitetin, mbështetje të gjerë nga komuniteti dhe mundësinë për të zhvilluar aplikacione për frontend, backend, celular dhe desktop.
---
**Flashcard 14**  
**Pyetje:** Çfarë është Deno?  
**Përgjigje:** Deno është një mjedis ekzekutimi për JavaScript dhe TypeScript, i krijuar si një alternativë më moderne dhe të sigurt për Node.js.
---
**Flashcard 15**  
**Pyetje:** Cili është qëllimi i përdorimit të kornizave si React Native?  
**Përgjigje:** Qëllimi i përdorimit të kornizave si React Native është të lehtësojë zhvillimin e aplikacioneve celulare duke përdorur JavaScript dhe komponentë të rishfrytëzueshëm.
## Burimet
- Burimi: Hyrje ne Javascript.pdf
- Burimi: React.js.pdf
- Burimi: Express.js.pdf
- Burimi: Master i Shkencave në Teknologji Informacioni, faqja 1</t>
        </is>
      </c>
      <c r="H261" s="25" t="inlineStr">
        <is>
          <t>Hyrje ne Javascript.pdf | React.js.pdf | Express.js.pdf | MSc_-Teknologji-Informacioni.pdf (f. 1)</t>
        </is>
      </c>
      <c r="I261" s="25" t="n">
        <v>12.6</v>
      </c>
      <c r="J261" s="26" t="inlineStr">
        <is>
          <t>Pjesërisht e saktë</t>
        </is>
      </c>
      <c r="K261" s="26" t="inlineStr">
        <is>
          <t>jo</t>
        </is>
      </c>
      <c r="L261" s="25" t="inlineStr">
        <is>
          <t>15 flashcards, por pjesë e tyre janë përmbajtje e përgjithshme pa shënim dhe jo e lidhur me materialet (p.sh. HTML/CSS, SPA).</t>
        </is>
      </c>
    </row>
    <row r="262" ht="57.45" customHeight="1" s="19">
      <c r="A262" s="23" t="n">
        <v>53</v>
      </c>
      <c r="B262" s="23" t="inlineStr">
        <is>
          <t>E</t>
        </is>
      </c>
      <c r="C262" s="23" t="inlineStr">
        <is>
          <t>po</t>
        </is>
      </c>
      <c r="D262" s="23" t="inlineStr">
        <is>
          <t>Më bëj një test prove për lëndën Zhvillim Webi: aplikime dhe programim.</t>
        </is>
      </c>
      <c r="E262" s="23" t="inlineStr">
        <is>
          <t>Fillon me shënimin që është model prove dhe që formati zyrtar nuk gjendet te dokumentet; tri pjesë (teori, zgjedhje e shumëfishtë, problem praktik); përgjigjet në fund; pa pikë zyrtare</t>
        </is>
      </c>
      <c r="F262" s="23" t="n">
        <v>1</v>
      </c>
      <c r="G262" s="23" t="inlineStr">
        <is>
          <t>(Teksti i përgjigjes së ekzekutimit origjinal nuk është i disponueshëm – vlerësimi është marrë nga Shtojca A.)</t>
        </is>
      </c>
      <c r="H262" s="23" t="n"/>
      <c r="I262" s="23" t="n">
        <v>10.17</v>
      </c>
      <c r="J262" s="24" t="inlineStr">
        <is>
          <t>E saktë</t>
        </is>
      </c>
      <c r="K262" s="24" t="inlineStr">
        <is>
          <t>jo</t>
        </is>
      </c>
      <c r="L262" s="23" t="n"/>
    </row>
    <row r="263" ht="1087.3" customHeight="1" s="19">
      <c r="A263" s="25" t="n">
        <v>53</v>
      </c>
      <c r="B263" s="25" t="inlineStr">
        <is>
          <t>E</t>
        </is>
      </c>
      <c r="C263" s="25" t="inlineStr">
        <is>
          <t>po</t>
        </is>
      </c>
      <c r="D263" s="25" t="inlineStr">
        <is>
          <t>Më bëj një test prove për lëndën Zhvillim Webi: aplikime dhe programim.</t>
        </is>
      </c>
      <c r="E263" s="25" t="inlineStr">
        <is>
          <t>Fillon me shënimin që është model prove dhe që formati zyrtar nuk gjendet te dokumentet; tri pjesë (teori, zgjedhje e shumëfishtë, problem praktik); përgjigjet në fund; pa pikë zyrtare</t>
        </is>
      </c>
      <c r="F263" s="25" t="n">
        <v>2</v>
      </c>
      <c r="G263" s="25" t="inlineStr">
        <is>
          <t>Ky është një model prove për ushtrim. Formati dhe kërkesat e provimit zyrtar nuk gjenden te dokumentet. Mos jep pikë zyrtare. 
## Pjesa 1: Pyetje Teorike të Shkurtra
1. **Çfarë është Node.js dhe cilat janë disa nga karakteristikat e tij kryesore?**
2. **Shpjegoni konceptin e "event-driven programming" dhe si aplikohet në JavaScript.**
3. **Cila është rëndësia e përdorimit të Express.js në zhvillimin e aplikacioneve web?**
## Pjesa 2: Zgjedhje e Shumëfishtë
1. **Cili nga këta është një mjedis ekzekutimi për JavaScript?**
   - A) Apache
   - B) Node.js
   - C) MySQL
   - D) MongoDB
2. **Cili është qëllimi kryesor i Express.js?**
   - A) Të krijojë aplikacione desktop
   - B) Të menaxhojë bazat e të dhënave
   - C) Të ndihmojë në ndërtimin e serverëve web
   - D) Të zhvillojë aplikacione mobile
3. **Cili nga këta është një tip i I/O në Node.js?**
   - A) Bllokues
   - B) Jo-bllokues
   - C) Sinchronous
   - D) Asynchronous
## Pjesa 3: Problem ose Rast Praktik
**Problemi:**
Ju jeni duke zhvilluar një aplikacion web që përdor Node.js dhe Express.js për të menaxhuar kërkesat e përdoruesve. Përdoruesit duhet të kenë mundësinë të regjistrohen dhe të identifikohen. 
**Pyetje:**
1. Shkruani një fragment kodi që ilustron si të krijoni një server të thjeshtë me Node.js dhe Express.js që përgjigjet me "Mirë se vini!" kur përdoruesi viziton faqen kryesore.
2. Cilat janë hapat e nevojshëm për të menaxhuar regjistrimin e përdoruesve në këtë aplikacion?
---
## Përgjigjet
### Pjesa 1: Pyetje Teorike të Shkurtra
1. **Node.js** është një mjedis ekzekutimi me burim të hapur që lejon ekzekutimin e JavaScript jashtë shfletuesit, kryesisht në anën e serverit. Karakteristikat kryesore përfshijnë modelin I/O jo-bllokues dhe të udhëhequr nga ngjarjet.
2. **Event-driven programming** është një stil programimi ku flukset e kontrollit janë të udhëhequra nga ngjarje. Në JavaScript, kjo aplikohet përmes funksioneve të thirrura nga ngjarje si klikuar, ngarkuar, etj.
3. **Express.js** është një framework për Node.js që lehtëson krijimin e aplikacioneve web duke ofruar një set të thjeshtë funksionesh për menaxhimin e rrugëve, kërkesave dhe përgjigjeve.
### Pjesa 2: Zgjedhje e Shumëfishtë
1. B) Node.js
2. C) Të ndihmojë në ndërtimin e serverëve web
3. B) Jo-bllokues
### Pjesa 3: Problem ose Rast Praktik
1. **Fragment kodi për serverin:**
   ```javascript
   const express = require('express');
   const app = express;
   const port = 3000;
   app.get('/', (req, res) =&gt; {
       res.send('Mirë se vini!');
   });
   app.listen(port,  =&gt; {
       console.log(`Serveri po dëgjon në http://localhost:${port}`);
   });
   ```
2. **Hapat për menaxhimin e regjistrimit të përdoruesve:**
   - Krijoni një formë regjistrimi në frontend.
   - Përdorni Express.js për të krijuar një rrugë që merr të dhënat e regjistrimit.
   - Ruani të dhënat e përdoruesve në një bazë të dhënash (p.sh., MongoDB).
   - Dërgoni një përgjigje përfundimtare për regjistrimin e suksesshëm ose dështimin.
## Burimet
- Burimi: Hyrje ne Javascript.pdf
- Burimi: Express.js.pdf
- Burimi: Node.js.pdf
- Burimi: Master i Shkencave në Teknologji Informacioni, faqja 1</t>
        </is>
      </c>
      <c r="H263" s="25" t="inlineStr">
        <is>
          <t>Hyrje ne Javascript.pdf | Express.js.pdf | Node.js.pdf | MSc_-Teknologji-Informacioni.pdf (f. 1)</t>
        </is>
      </c>
      <c r="I263" s="25" t="n">
        <v>12.19</v>
      </c>
      <c r="J263" s="26" t="inlineStr">
        <is>
          <t>Pjesërisht e saktë</t>
        </is>
      </c>
      <c r="K263" s="26" t="inlineStr">
        <is>
          <t>jo</t>
        </is>
      </c>
      <c r="L263" s="25" t="inlineStr">
        <is>
          <t>Fillon me shënimin që është model prove dhe se formati zyrtar nuk gjendet; 3 pjesë, përgjigjet në fund. Pyetja 3 e zgjedhjes së shumëfishtë ka dy opsione të pranueshme (Jo-bllokues dhe Asynchronous); në shembullin e kodit 'express' shkruhet pa kllapa ('const app = express;').</t>
        </is>
      </c>
    </row>
    <row r="264" ht="1020.1" customHeight="1" s="19">
      <c r="A264" s="25" t="n">
        <v>53</v>
      </c>
      <c r="B264" s="25" t="inlineStr">
        <is>
          <t>E</t>
        </is>
      </c>
      <c r="C264" s="25" t="inlineStr">
        <is>
          <t>po</t>
        </is>
      </c>
      <c r="D264" s="25" t="inlineStr">
        <is>
          <t>Më bëj një test prove për lëndën Zhvillim Webi: aplikime dhe programim.</t>
        </is>
      </c>
      <c r="E264" s="25" t="inlineStr">
        <is>
          <t>Fillon me shënimin që është model prove dhe që formati zyrtar nuk gjendet te dokumentet; tri pjesë (teori, zgjedhje e shumëfishtë, problem praktik); përgjigjet në fund; pa pikë zyrtare</t>
        </is>
      </c>
      <c r="F264" s="25" t="n">
        <v>3</v>
      </c>
      <c r="G264" s="25" t="inlineStr">
        <is>
          <t>Ky është një model prove për ushtrim. Formati dhe kërkesat e provimit zyrtar nuk gjenden te dokumentet. Mos jep pikë zyrtare. 
## Pjesa 1: Pyetje Teorike të Shkurtra
1. **Çfarë është Node.js dhe cilat janë disa nga karakteristikat e tij kryesore?**
2. **Përshkruani rolin e Express.js në zhvillimin e aplikacioneve web.**
3. **Cilat janë disa nga avantazhet e përdorimit të React.js për ndërtimin e ndërfaqeve të përdoruesit?**
## Pjesa 2: Zgjedhje e Shumëfishtë
1. **Cili nga këto është një mjedis ekzekutimi për JavaScript?**
   - A) Apache
   - B) Node.js
   - C) MySQL
   - D) MongoDB
2. **Cili është qëllimi kryesor i Express.js?**
   - A) Të krijojë aplikacione desktop
   - B) Të menaxhojë bazat e të dhënave
   - C) Të ndihmojë në ndërtimin e serverëve web
   - D) Të optimizojë kërkimet në internet
3. **Cila nga këto është një karakteristikë e React.js?**
   - A) Përdorimi i HTML direkt
   - B) Përdorimi i komponentëve
   - C) Ekzekutimi në anën e serverit
   - D) Krijimi i skedarëve të stilit CSS
## Pjesa 3: Problem ose Rast Praktik
**Situata:**
Ju jeni duke zhvilluar një aplikacion web për menaxhimin e një dyqani online. Aplikacioni duhet të ketë një ndërfaqe të përdoruesit tërheqëse dhe të lehtë për t'u përdorur, si dhe të jetë i aftë të përballojë shumë përdorues në të njëjtën kohë.
**Pyetje:**
1. Si do ta implementonit backend-in e aplikacionit tuaj duke përdorur Node.js dhe Express.js? Shpjegoni hapat që do të ndiqni.
2. Si do të përdornit React.js për të ndërtuar ndërfaqen e përdoruesit? Cilat janë disa nga komponentët që do të krijonit?
---
## Përgjigjet
### Pjesa 1: Pyetje Teorike të Shkurtra
1. **Node.js** është një mjedis ekzekutimi me burim të hapur që lejon ekzekutimin e JavaScript jashtë shfletuesit, kryesisht në anën e serverit. Karakteristikat kryesore përfshijnë modelin I/O jo-bllokues dhe të udhëhequr nga ngjarjet.
2. **Express.js** është një framework për Node.js që lehtëson krijimin e aplikacioneve web dhe API-ve. Ai ofron një set të thjeshtë funksionesh për menaxhimin e rrugëve, kërkesave dhe përgjigjeve.
3. **Avantazhet e React.js** përfshijnë: përdorimin e komponentëve për të ndarë ndërfaqen në pjesë të vogla dhe të ripërdorshme, menaxhimin efikas të gjendjes me përdorimin e "state" dhe "props", dhe performancën e lartë përmes Virtual DOM.
### Pjesa 2: Zgjedhje e Shumëfishtë
1. B) Node.js
2. C) Të ndihmojë në ndërtimin e serverëve web
3. B) Përdorimi i komponentëve
### Pjesa 3: Problem ose Rast Praktik
1. Për të implementuar backend-in, do të krijoja një server duke përdorur Node.js dhe Express.js. Hapat do të përfshinin:
   - Instalimin e Node.js dhe krijimin e një projekti të ri.
   - Instalimin e Express.js.
   - Krijimin e rrugëve për menaxhimin e produkteve, porosive dhe përdoruesve.
   - Konfigurimin e lidhjes me një bazë të dhënash (p.sh., MongoDB) për ruajtjen e të dhënave.
2. Për të ndërtuar ndërfaqen e përdoruesit me React.js, do të krijoja komponentë për:
   - Listimin e produkteve.
   - Formën e porosisë.
   - Menaxhimin e shportës së blerjeve.
   - Përdorimin e "state" për të menaxhuar të dhënat e përdoruesve dhe produktet në shportë.
## Burimet
- Burimi: Hyrje ne Javascript.pdf
- Burimi: Express.js.pdf
- Burimi: Node.js.pdf
- Burimi: Master i Shkencave në Teknologji Informacioni, faqja 1</t>
        </is>
      </c>
      <c r="H264" s="25" t="inlineStr">
        <is>
          <t>Hyrje ne Javascript.pdf | Express.js.pdf | Node.js.pdf | MSc_-Teknologji-Informacioni.pdf (f. 1)</t>
        </is>
      </c>
      <c r="I264" s="25" t="n">
        <v>13.05</v>
      </c>
      <c r="J264" s="26" t="inlineStr">
        <is>
          <t>E saktë</t>
        </is>
      </c>
      <c r="K264" s="26" t="inlineStr">
        <is>
          <t>jo</t>
        </is>
      </c>
      <c r="L264" s="25" t="inlineStr">
        <is>
          <t>Model prove me shënim hapësues, 3 pjesë (teori, zgjedhje e shumëfishtë, rast praktik), përgjigjet në fund, pa pikë zyrtare.</t>
        </is>
      </c>
    </row>
    <row r="265" ht="1143.25" customHeight="1" s="19">
      <c r="A265" s="25" t="n">
        <v>53</v>
      </c>
      <c r="B265" s="25" t="inlineStr">
        <is>
          <t>E</t>
        </is>
      </c>
      <c r="C265" s="25" t="inlineStr">
        <is>
          <t>po</t>
        </is>
      </c>
      <c r="D265" s="25" t="inlineStr">
        <is>
          <t>Më bëj një test prove për lëndën Zhvillim Webi: aplikime dhe programim.</t>
        </is>
      </c>
      <c r="E265" s="25" t="inlineStr">
        <is>
          <t>Fillon me shënimin që është model prove dhe që formati zyrtar nuk gjendet te dokumentet; tri pjesë (teori, zgjedhje e shumëfishtë, problem praktik); përgjigjet në fund; pa pikë zyrtare</t>
        </is>
      </c>
      <c r="F265" s="25" t="n">
        <v>4</v>
      </c>
      <c r="G265" s="25" t="inlineStr">
        <is>
          <t>Ky është një model prove për ushtrim. Formati dhe kërkesat e provimit zyrtar nuk gjenden te dokumentet.
## Pjesa 1: Pyetje Teorike të Shkurtra
1. Çfarë është Node.js dhe cilat janë disa nga avantazhet e tij në zhvillimin e aplikacioneve web?
2. Shpjegoni konceptin e "event-driven programming" dhe si aplikohet në JavaScript.
3. Cila është roli i Express.js në zhvillimin e aplikacioneve web dhe si ndihmon në menaxhimin e ruterëve?
## Pjesa 2: Zgjedhje e Shumëfishtë
1. Cili nga këta është një mjedis ekzekutimi për JavaScript në anën e serverit?
   - A) React.js
   - B) Node.js
   - C) Angular.js
   - D) Vue.js
2. Cili nga këta është një framework për ndihmën në ndërtimin e aplikacioneve web me Node.js?
   - A) Django
   - B) Flask
   - C) Express.js
   - D) Ruby on Rails
3. Cila është një karakteristikë e JavaScript që e bën atë të përshtatshëm për zhvillimin e aplikacioneve web?
   - A) Të jetë një gjuhë e tipizuar
   - B) Të jetë një gjuhë e orientuar nga objektet
   - C) Të jetë një gjuhë e kompiluar
   - D) Të jetë një gjuhë e përdorur vetëm në server
## Pjesa 3: Problem ose Rast Praktik
Krijoni një aplikacion të thjeshtë web që përdor Node.js dhe Express.js për të menaxhuar një listë të thjeshtë të detyrave. Aplikacioni duhet të ketë:
- Një faqe për të shfaqur detyrat e regjistruara.
- Një formë për të shtuar detyra të reja.
- Mundësinë për të fshirë detyrat ekzistuese.
Shpjegoni hapat që do të ndiqni për të realizuar këtë aplikacion dhe cila do të ishte struktura e skedarëve.
---
## Përgjigjet
### Pjesa 1: Pyetje Teorike të Shkurtra
1. Node.js është një mjedis ekzekutimi për JavaScript që lejon ekzekutimin e kodit jashtë shfletuesit. Avantazhet përfshijnë performancën e lartë për shkak të modelit I/O jo-bllokues dhe aftësinë për të menaxhuar shumë lidhje paralele.
2. "Event-driven programming" është një stil programimi ku rrjedha e programit përcaktohet nga ngjarje. Në JavaScript, kjo aplikohet përmes funksioneve që reagojnë ndaj ngjarjeve si klikimet e përdoruesve ose përgjigjet nga serveri.
3. Express.js është një framework për Node.js që lehtëson krijimin e aplikacioneve web duke ofruar një set të thjeshtë funksionesh për menaxhimin e ruterëve dhe middleware-ve.
### Pjesa 2: Zgjedhje e Shumëfishtë
1. B) Node.js
2. C) Express.js
3. B) Të jetë një gjuhë e orientuar nga objektet
### Pjesa 3: Problem ose Rast Praktik
Për të krijuar aplikacionin e thjeshtë web, do të ndiqen këta hapa:
1. Krijoni një projekt të ri Node.js dhe instaloni Express.js.
2. Krijoni një server të thjeshtë që dëgjon për kërkesa në një port të caktuar.
3. Krijoni një skedar HTML për të shfaqur detyrat dhe formën për të shtuar detyra.
4. Përdorni një array për të ruajtur detyrat në memorie (ose një bazë të dhënash për ruajtje të përhershme).
5. Implementoni ruterët për të menaxhuar kërkesat GET dhe POST për të shfaqur dhe shtuar detyra.
6. Implementoni një funksion për të fshirë detyrat nga lista.
Struktura e skedarëve mund të duket si më poshtë:
```
/my-todo-app
|-- server.js
|-- public
|   |-- index.html
|-- package.json
```
Ky model prove është një mënyrë për të praktikuar njohuritë tuaja në Zhvillimin e Webit. Suksese!
## Burimet
- Burimi: Hyrje ne Javascript.pdf
- Burimi: Express.js.pdf
- Burimi: Node.js.pdf
- Burimi: Master i Shkencave në Teknologji Informacioni, faqja 1</t>
        </is>
      </c>
      <c r="H265" s="25" t="inlineStr">
        <is>
          <t>Hyrje ne Javascript.pdf | Express.js.pdf | Node.js.pdf | MSc_-Teknologji-Informacioni.pdf (f. 1)</t>
        </is>
      </c>
      <c r="I265" s="25" t="n">
        <v>19</v>
      </c>
      <c r="J265" s="26" t="inlineStr">
        <is>
          <t>Pjesërisht e saktë</t>
        </is>
      </c>
      <c r="K265" s="26" t="inlineStr">
        <is>
          <t>jo</t>
        </is>
      </c>
      <c r="L265" s="25" t="inlineStr">
        <is>
          <t>Struktura e kërkuar është e plotë, por pyetja 3 e zgjedhjes së shumëfishtë (JavaScript si gjuhë 'e orientuar nga objektet') është e diskutueshme dhe nuk del nga materialet.</t>
        </is>
      </c>
    </row>
    <row r="266" ht="1154.45" customHeight="1" s="19">
      <c r="A266" s="25" t="n">
        <v>53</v>
      </c>
      <c r="B266" s="25" t="inlineStr">
        <is>
          <t>E</t>
        </is>
      </c>
      <c r="C266" s="25" t="inlineStr">
        <is>
          <t>po</t>
        </is>
      </c>
      <c r="D266" s="25" t="inlineStr">
        <is>
          <t>Më bëj një test prove për lëndën Zhvillim Webi: aplikime dhe programim.</t>
        </is>
      </c>
      <c r="E266" s="25" t="inlineStr">
        <is>
          <t>Fillon me shënimin që është model prove dhe që formati zyrtar nuk gjendet te dokumentet; tri pjesë (teori, zgjedhje e shumëfishtë, problem praktik); përgjigjet në fund; pa pikë zyrtare</t>
        </is>
      </c>
      <c r="F266" s="25" t="n">
        <v>5</v>
      </c>
      <c r="G266" s="25" t="inlineStr">
        <is>
          <t>Ky është një model prove për ushtrim. Formati dhe kërkesat e provimit zyrtar nuk gjenden te dokumentet. Mos jep pikë zyrtare. 
## Pjesa 1: Pyetje Teorike të Shkurtra
1. **Çfarë është Node.js dhe cilat janë disa nga avantazhet e tij?**
2. **Shpjegoni konceptin e "event-driven programming" dhe si aplikohet në JavaScript.**
3. **Cili është roli i Express.js në zhvillimin e aplikacioneve web?**
## Pjesa 2: Zgjedhje e Shumëfishtë
1. Cili nga këto është një mjedis ekzekutimi për JavaScript në anën e serverit?
   - A) React.js
   - B) Node.js
   - C) Angular.js
   - D) Vue.js
2. Cila nga këto është një karakteristikë e modelit I/O jo-bllokues në Node.js?
   - A) Bllokimi i thread-ave
   - B) Përdorimi i callback-ëve
   - C) Krijimi i një thread-i të ri për çdo kërkesë
   - D) Ekzekutimi sinkron
3. Cili është qëllimi kryesor i Express.js?
   - A) Të krijojë aplikacione desktop
   - B) Të menaxhojë bazat e të dhënave
   - C) Të ndihmojë në ndërtimin e serverëve web
   - D) Të krijojë aplikacione mobile
## Pjesa 3: Problem ose Rast Praktik
**Rasti:**
Ju jeni duke zhvilluar një aplikacion web për menaxhimin e një biblioteke. Aplikacioni duhet të lejojë përdoruesit të regjistrohen, të kërkojnë libra dhe të rezervojnë libra online. 
**Pyetje:**
1. Cilat teknologji do të përdorni për të ndërtuar backend-in e aplikacionit tuaj dhe pse?
2. Shkruani një fragment të kodit në JavaScript që ilustron si mund të krijoni një endpoint të thjeshtë në Express.js për regjistrimin e përdoruesve.
---
## Përgjigjet
### Pjesa 1: Pyetje Teorike të Shkurtra
1. **Node.js** është një mjedis ekzekutimi për JavaScript jashtë shfletuesit, i ndërtuar mbi motorin V8 të Google Chrome. Avantazhet përfshijnë performancën e lartë, mbështetje për lidhje paralele dhe një model I/O jo-bllokues.
2. **Event-driven programming** është një stil programimi ku flukset e programit janë të drejtuara nga ngjarje. Në JavaScript, kjo aplikohet përmes callback-ëve dhe promesave që lejojnë ekzekutimin e kodit në përgjigje të ngjarjeve të ndryshme.
3. **Express.js** është një framework për Node.js që lehtëson krijimin e aplikacioneve web duke ofruar një set të thjeshtë funksionesh për menaxhimin e rrugëve, kërkesave dhe përgjigjeve.
### Pjesa 2: Zgjedhje e Shumëfishtë
1. B) Node.js
2. B) Përdorimi i callback-ëve
3. C) Të ndihmojë në ndërtimin e serverëve web
### Pjesa 3: Problem ose Rast Praktik
1. Për backend-in do të përdorja **Node.js** për shkak të performancës së tij dhe **Express.js** për menaxhimin e rrugëve dhe kërkesave HTTP. Gjithashtu, mund të përdor një bazë të dhënash si MongoDB për ruajtjen e informacionit të përdoruesve dhe librave.
2. Fragmenti i kodit për një endpoint të regjistrimit të përdoruesve në Express.js mund të duket si më poshtë:
```javascript
const express = require('express');
const app = express;
app.use(express.json);
app.post('/register', (req, res) =&gt; {
    const user = req.body;
    // Logjika për regjistrimin e përdoruesit
    res.status(201).send('Përdoruesi u regjistrua me sukses!');
});
app.listen(3000,  =&gt; {
    console.log('Serveri po dëgjon në portin 3000');
});
```
Ky është një model prove për ushtrim dhe nuk përmban kërkesa zyrtare.
## Burimet
- Burimi: Hyrje ne Javascript.pdf
- Burimi: Express.js.pdf
- Burimi: Node.js.pdf
- Burimi: Master i Shkencave në Teknologji Informacioni, faqja 1</t>
        </is>
      </c>
      <c r="H266" s="25" t="inlineStr">
        <is>
          <t>Hyrje ne Javascript.pdf | Express.js.pdf | Node.js.pdf | MSc_-Teknologji-Informacioni.pdf (f. 1)</t>
        </is>
      </c>
      <c r="I266" s="25" t="n">
        <v>9.92</v>
      </c>
      <c r="J266" s="26" t="inlineStr">
        <is>
          <t>E saktë</t>
        </is>
      </c>
      <c r="K266" s="26" t="inlineStr">
        <is>
          <t>jo</t>
        </is>
      </c>
      <c r="L266" s="25" t="inlineStr">
        <is>
          <t>Model prove me shënim hapësues, 3 pjesë, përgjigjet në fund, pa pikë zyrtare.</t>
        </is>
      </c>
    </row>
    <row r="267" ht="35.05" customHeight="1" s="19">
      <c r="A267" s="23" t="n">
        <v>54</v>
      </c>
      <c r="B267" s="23" t="inlineStr">
        <is>
          <t>B</t>
        </is>
      </c>
      <c r="C267" s="23" t="inlineStr">
        <is>
          <t>jo</t>
        </is>
      </c>
      <c r="D267" s="23" t="inlineStr">
        <is>
          <t>Më bëj një quiz për lëndën Kontrolli dhe auditimi i sigurisë në rrjetat kompjuterike.</t>
        </is>
      </c>
      <c r="E267" s="23" t="inlineStr">
        <is>
          <t>Thotë që nuk ka materiale për këtë lëndë; kërkon një temë ose material nga studenti; nuk krijon quiz të shpikur</t>
        </is>
      </c>
      <c r="F267" s="23" t="n">
        <v>1</v>
      </c>
      <c r="G267" s="23" t="inlineStr">
        <is>
          <t>(Teksti i përgjigjes së ekzekutimit origjinal nuk është i disponueshëm – vlerësimi është marrë nga Shtojca A.)</t>
        </is>
      </c>
      <c r="H267" s="23" t="n"/>
      <c r="I267" s="23" t="n">
        <v>0.59</v>
      </c>
      <c r="J267" s="24" t="inlineStr">
        <is>
          <t>E saktë</t>
        </is>
      </c>
      <c r="K267" s="24" t="inlineStr">
        <is>
          <t>jo</t>
        </is>
      </c>
      <c r="L267" s="23" t="n"/>
    </row>
    <row r="268" ht="57.45" customHeight="1" s="19">
      <c r="A268" s="25" t="n">
        <v>54</v>
      </c>
      <c r="B268" s="25" t="inlineStr">
        <is>
          <t>B</t>
        </is>
      </c>
      <c r="C268" s="25" t="inlineStr">
        <is>
          <t>jo</t>
        </is>
      </c>
      <c r="D268" s="25" t="inlineStr">
        <is>
          <t>Më bëj një quiz për lëndën Kontrolli dhe auditimi i sigurisë në rrjetat kompjuterike.</t>
        </is>
      </c>
      <c r="E268" s="25" t="inlineStr">
        <is>
          <t>Thotë që nuk ka materiale për këtë lëndë; kërkon një temë ose material nga studenti; nuk krijon quiz të shpikur</t>
        </is>
      </c>
      <c r="F268" s="25" t="n">
        <v>2</v>
      </c>
      <c r="G268" s="25" t="inlineStr">
        <is>
          <t>Nuk kam materiale për lëndën Kontrolli dhe auditimi i sigurisë në rrjetat kompjuterike te baza e njohurive, ndaj nuk mund ta bazoj quiz-in te lënda. Mund ta përgatis nëse më shkruan një temë (p.sh. "REST API") dhe do të jetë përmbajtje e përgjithshme, e shënuar si e tillë. Ose ngjit materialin tënd te Study Mode. Materialet e lëndës mund të shtohen te dosja data/lendet.</t>
        </is>
      </c>
      <c r="H268" s="25" t="n"/>
      <c r="I268" s="25" t="n">
        <v>0.45</v>
      </c>
      <c r="J268" s="26" t="inlineStr">
        <is>
          <t>E saktë</t>
        </is>
      </c>
      <c r="K268" s="26" t="inlineStr">
        <is>
          <t>jo</t>
        </is>
      </c>
      <c r="L268" s="25" t="inlineStr">
        <is>
          <t>Thotë qartë se nuk ka materiale për lëndën, kërkon temë ose material nga studenti dhe nuk krijon quiz të shpikur.</t>
        </is>
      </c>
    </row>
    <row r="269" ht="57.45" customHeight="1" s="19">
      <c r="A269" s="27" t="n">
        <v>54</v>
      </c>
      <c r="B269" s="27" t="inlineStr">
        <is>
          <t>B</t>
        </is>
      </c>
      <c r="C269" s="27" t="inlineStr">
        <is>
          <t>jo</t>
        </is>
      </c>
      <c r="D269" s="27" t="inlineStr">
        <is>
          <t>Më bëj një quiz për lëndën Kontrolli dhe auditimi i sigurisë në rrjetat kompjuterike.</t>
        </is>
      </c>
      <c r="E269" s="27" t="inlineStr">
        <is>
          <t>Thotë që nuk ka materiale për këtë lëndë; kërkon një temë ose material nga studenti; nuk krijon quiz të shpikur</t>
        </is>
      </c>
      <c r="F269" s="27" t="n">
        <v>3</v>
      </c>
      <c r="G269" s="27" t="inlineStr">
        <is>
          <t>Nuk kam materiale për lëndën Kontrolli dhe auditimi i sigurisë në rrjetat kompjuterike te baza e njohurive, ndaj nuk mund ta bazoj quiz-in te lënda. Mund ta përgatis nëse më shkruan një temë (p.sh. "REST API") dhe do të jetë përmbajtje e përgjithshme, e shënuar si e tillë. Ose ngjit materialin tënd te Study Mode. Materialet e lëndës mund të shtohen te dosja data/lendet.</t>
        </is>
      </c>
      <c r="H269" s="27" t="n"/>
      <c r="I269" s="27" t="n">
        <v>0.57</v>
      </c>
      <c r="J269" s="27">
        <f>J268</f>
        <v/>
      </c>
      <c r="K269" s="27">
        <f>K268</f>
        <v/>
      </c>
      <c r="L269" s="27" t="inlineStr">
        <is>
          <t>Pothuajse identike me ekzekutimin 2</t>
        </is>
      </c>
    </row>
    <row r="270" ht="57.45" customHeight="1" s="19">
      <c r="A270" s="27" t="n">
        <v>54</v>
      </c>
      <c r="B270" s="27" t="inlineStr">
        <is>
          <t>B</t>
        </is>
      </c>
      <c r="C270" s="27" t="inlineStr">
        <is>
          <t>jo</t>
        </is>
      </c>
      <c r="D270" s="27" t="inlineStr">
        <is>
          <t>Më bëj një quiz për lëndën Kontrolli dhe auditimi i sigurisë në rrjetat kompjuterike.</t>
        </is>
      </c>
      <c r="E270" s="27" t="inlineStr">
        <is>
          <t>Thotë që nuk ka materiale për këtë lëndë; kërkon një temë ose material nga studenti; nuk krijon quiz të shpikur</t>
        </is>
      </c>
      <c r="F270" s="27" t="n">
        <v>4</v>
      </c>
      <c r="G270" s="27" t="inlineStr">
        <is>
          <t>Nuk kam materiale për lëndën Kontrolli dhe auditimi i sigurisë në rrjetat kompjuterike te baza e njohurive, ndaj nuk mund ta bazoj quiz-in te lënda. Mund ta përgatis nëse më shkruan një temë (p.sh. "REST API") dhe do të jetë përmbajtje e përgjithshme, e shënuar si e tillë. Ose ngjit materialin tënd te Study Mode. Materialet e lëndës mund të shtohen te dosja data/lendet.</t>
        </is>
      </c>
      <c r="H270" s="27" t="n"/>
      <c r="I270" s="27" t="n">
        <v>0.53</v>
      </c>
      <c r="J270" s="27">
        <f>J268</f>
        <v/>
      </c>
      <c r="K270" s="27">
        <f>K268</f>
        <v/>
      </c>
      <c r="L270" s="27" t="inlineStr">
        <is>
          <t>Pothuajse identike me ekzekutimin 2</t>
        </is>
      </c>
    </row>
    <row r="271" ht="57.45" customHeight="1" s="19">
      <c r="A271" s="27" t="n">
        <v>54</v>
      </c>
      <c r="B271" s="27" t="inlineStr">
        <is>
          <t>B</t>
        </is>
      </c>
      <c r="C271" s="27" t="inlineStr">
        <is>
          <t>jo</t>
        </is>
      </c>
      <c r="D271" s="27" t="inlineStr">
        <is>
          <t>Më bëj një quiz për lëndën Kontrolli dhe auditimi i sigurisë në rrjetat kompjuterike.</t>
        </is>
      </c>
      <c r="E271" s="27" t="inlineStr">
        <is>
          <t>Thotë që nuk ka materiale për këtë lëndë; kërkon një temë ose material nga studenti; nuk krijon quiz të shpikur</t>
        </is>
      </c>
      <c r="F271" s="27" t="n">
        <v>5</v>
      </c>
      <c r="G271" s="27" t="inlineStr">
        <is>
          <t>Nuk kam materiale për lëndën Kontrolli dhe auditimi i sigurisë në rrjetat kompjuterike te baza e njohurive, ndaj nuk mund ta bazoj quiz-in te lënda. Mund ta përgatis nëse më shkruan një temë (p.sh. "REST API") dhe do të jetë përmbajtje e përgjithshme, e shënuar si e tillë. Ose ngjit materialin tënd te Study Mode. Materialet e lëndës mund të shtohen te dosja data/lendet.</t>
        </is>
      </c>
      <c r="H271" s="27" t="n"/>
      <c r="I271" s="27" t="n">
        <v>0.48</v>
      </c>
      <c r="J271" s="27">
        <f>J268</f>
        <v/>
      </c>
      <c r="K271" s="27">
        <f>K268</f>
        <v/>
      </c>
      <c r="L271" s="27" t="inlineStr">
        <is>
          <t>Pothuajse identike me ekzekutimin 2</t>
        </is>
      </c>
    </row>
    <row r="272" ht="46.25" customHeight="1" s="19">
      <c r="A272" s="23" t="n">
        <v>55</v>
      </c>
      <c r="B272" s="23" t="inlineStr">
        <is>
          <t>B</t>
        </is>
      </c>
      <c r="C272" s="23" t="inlineStr">
        <is>
          <t>jo</t>
        </is>
      </c>
      <c r="D272" s="23" t="inlineStr">
        <is>
          <t>Më shpjego çfarë është një firewall.</t>
        </is>
      </c>
      <c r="E272" s="23" t="inlineStr">
        <is>
          <t>Mund të japë shpjegim të përgjithshëm, por fillon me shënimin që nuk ka materiale të lëndës dhe që kjo është përmbajtje e përgjithshme, jo nga lënda</t>
        </is>
      </c>
      <c r="F272" s="23" t="n">
        <v>1</v>
      </c>
      <c r="G272" s="23" t="inlineStr">
        <is>
          <t>(Teksti i përgjigjes së ekzekutimit origjinal nuk është i disponueshëm – vlerësimi është marrë nga Shtojca A.)</t>
        </is>
      </c>
      <c r="H272" s="23" t="n"/>
      <c r="I272" s="23" t="n">
        <v>8.6</v>
      </c>
      <c r="J272" s="24" t="inlineStr">
        <is>
          <t>E saktë</t>
        </is>
      </c>
      <c r="K272" s="24" t="inlineStr">
        <is>
          <t>jo</t>
        </is>
      </c>
      <c r="L272" s="23" t="n"/>
    </row>
    <row r="273" ht="482.8" customHeight="1" s="19">
      <c r="A273" s="25" t="n">
        <v>55</v>
      </c>
      <c r="B273" s="25" t="inlineStr">
        <is>
          <t>B</t>
        </is>
      </c>
      <c r="C273" s="25" t="inlineStr">
        <is>
          <t>jo</t>
        </is>
      </c>
      <c r="D273" s="25" t="inlineStr">
        <is>
          <t>Më shpjego çfarë është një firewall.</t>
        </is>
      </c>
      <c r="E273" s="25" t="inlineStr">
        <is>
          <t>Mund të japë shpjegim të përgjithshëm, por fillon me shënimin që nuk ka materiale të lëndës dhe që kjo është përmbajtje e përgjithshme, jo nga lënda</t>
        </is>
      </c>
      <c r="F273" s="25" t="n">
        <v>2</v>
      </c>
      <c r="G273" s="25" t="inlineStr">
        <is>
          <t>Nuk kam materiale të lëndës "Kontrolli dhe auditimi i sigurisë në rrjetat kompjuterike" në bazën e njohurive; kjo është përmbajtje e përgjithshme për temën, jo nga materialet e lëndës.
## Çfarë është një Firewall?
**Firewall** është një sistem sigurie që ndihmon në mbrojtjen e rrjeteve kompjuterike nga sulmet e jashtme dhe qasjet e paautorizuara. Ai funksionon si një barrierë midis një rrjeti të besueshëm (si p.sh. rrjeti i brendshëm i një kompanie) dhe rrjeteve të tjera (si interneti).
### Si funksionon një Firewall?
1. **Filtrimi i Trafikut**: Firewall-i analizon të dhënat që kalojnë përmes tij dhe vendos nëse t'i lejojë ato të kalojnë ose t'i bllokojë. Ai bazohet në rregulla të caktuara që janë vendosur nga administratorët e sistemit.
2. **Rregullat e Sigurisë**: Administratorët e rrjetit krijojnë rregulla që përcaktojnë se cilat lloje të trafikut janë të lejuara dhe cilat janë të ndaluara. Këto rregulla mund të bazohen në adresat IP, portet, ose protokollet e përdorura.
3. **Monitorimi**: Firewall-i gjithashtu monitoron aktivitetin e rrjetit dhe mund të regjistrojë përpjekjet për qasje të paautorizuar, duke ndihmuar në identifikimin e sulmeve të mundshme.
### Shembuj të përdorimit të Firewall-it
- **Firewall-i i Rrjetit**: Ky është një pajisje fizike që vendoset midis rrjetit të brendshëm dhe internetit. Ai kontrollon të gjithë trafikun që hyn dhe del nga rrjeti.
- **Firewall-i i Softuerit**: Ky është një program që instalohet në kompjuterin tuaj dhe ndihmon në mbrojtjen e tij nga sulmet. Ai mund të bllokojë aplikacione të caktuara që përpiqen të lidhen me internetin pa lejen tuaj.
### Përfundim
Firewall-i është një komponent i rëndësishëm i sigurisë në rrjetet kompjuterike, duke ndihmuar në mbrojtjen e të dhënave dhe sistemeve nga kërcënimet e jashtme. Ai vepron si një roje që kontrollon se kush ka qasje në rrjet dhe çfarë informacioni mund të kalojë.
## Burimet
- Burimi: Master i Shkencave në Teknologji Informacioni, faqja 1</t>
        </is>
      </c>
      <c r="H273" s="25" t="inlineStr">
        <is>
          <t>MSc_-Teknologji-Informacioni.pdf (f. 1)</t>
        </is>
      </c>
      <c r="I273" s="25" t="n">
        <v>8.449999999999999</v>
      </c>
      <c r="J273" s="26" t="inlineStr">
        <is>
          <t>E saktë</t>
        </is>
      </c>
      <c r="K273" s="26" t="inlineStr">
        <is>
          <t>jo</t>
        </is>
      </c>
      <c r="L273" s="25" t="inlineStr">
        <is>
          <t>Fillon me shënimin që nuk ka materiale të lëndës dhe se kjo është përmbajtje e përgjithshme; shpjegimi i firewall është i saktë. Burimi i cituar (plani) është jorelevant.</t>
        </is>
      </c>
    </row>
    <row r="274" ht="471.6" customHeight="1" s="19">
      <c r="A274" s="25" t="n">
        <v>55</v>
      </c>
      <c r="B274" s="25" t="inlineStr">
        <is>
          <t>B</t>
        </is>
      </c>
      <c r="C274" s="25" t="inlineStr">
        <is>
          <t>jo</t>
        </is>
      </c>
      <c r="D274" s="25" t="inlineStr">
        <is>
          <t>Më shpjego çfarë është një firewall.</t>
        </is>
      </c>
      <c r="E274" s="25" t="inlineStr">
        <is>
          <t>Mund të japë shpjegim të përgjithshëm, por fillon me shënimin që nuk ka materiale të lëndës dhe që kjo është përmbajtje e përgjithshme, jo nga lënda</t>
        </is>
      </c>
      <c r="F274" s="25" t="n">
        <v>3</v>
      </c>
      <c r="G274" s="25" t="inlineStr">
        <is>
          <t>Nuk kam materiale të lëndës "Kontrolli dhe auditimi i sigurisë në rrjetat kompjuterike" në bazën e njohurive; kjo është përmbajtje e përgjithshme për temën, jo nga materialet e lëndës.
## Çfarë është një Firewall?
**Firewall** është një sistem sigurie që ndihmon në mbrojtjen e rrjeteve kompjuterike nga sulmet e jashtme dhe qasjet e paautorizuara. Ai vepron si një barrierë midis një rrjeti të besueshëm (siç është rrjeti i brendshëm i një kompanie) dhe një rrjeti të pa besueshëm (si interneti).
### Si funksionon një Firewall?
1. **Filtrimi i Trafikut**: Firewall-i monitoron dhe kontrollon të gjitha të dhënat që hyjnë dhe dalin nga rrjeti. Ai përdor rregulla të caktuara për të vendosur nëse një paketë të dhënash duhet të lejohet ose të bllokohet.
2. **Rregullat e Sigurisë**: Administratori i rrjetit krijon rregulla që përcaktojnë se cilat lloje të trafikut janë të lejuara dhe cilat janë të ndaluara. Këto rregulla mund të bazohen në adresat IP, portet, ose protokollet e përdorura.
3. **Llojet e Firewalls**:
   - **Packet Filtering Firewall**: Bllokon ose lejon paketa të dhënash bazuar në rregullat e caktuara.
   - **Stateful Inspection Firewall**: Monitoron lidhjet aktive dhe merr vendime në bazë të gjendjes së lidhjes.
   - **Proxy Firewall**: Vepron si një ndërmjetës midis përdoruesve dhe burimeve të jashtme, duke fshehur adresat IP të brendshme.
### Shembull:
Imagjinoni se keni një shtëpi dhe një portë. Portën e mbyllni për të mbajtur jashtë njerëzit që nuk i njihni. Nëse dikush troket, ju vendosni nëse do ta hapni portën apo jo, bazuar në kush është dhe çfarë kërkon. Në këtë rast, porta është si një firewall që mbron shtëpinë tuaj (rrjeti) nga vizitorët e paftë.
Në përmbledhje, firewall-i është një komponent i rëndësishëm për sigurinë e rrjeteve kompjuterike, duke ndihmuar në mbrojtjen e të dhënave dhe burimeve nga sulmet e jashtme.
## Burimet
- Burimi: Master i Shkencave në Teknologji Informacioni, faqja 1</t>
        </is>
      </c>
      <c r="H274" s="25" t="inlineStr">
        <is>
          <t>MSc_-Teknologji-Informacioni.pdf (f. 1)</t>
        </is>
      </c>
      <c r="I274" s="25" t="n">
        <v>10.48</v>
      </c>
      <c r="J274" s="26" t="inlineStr">
        <is>
          <t>E saktë</t>
        </is>
      </c>
      <c r="K274" s="26" t="inlineStr">
        <is>
          <t>jo</t>
        </is>
      </c>
      <c r="L274" s="25" t="inlineStr">
        <is>
          <t>Fillon me shënimin që nuk ka materiale të lëndës dhe se kjo është përmbajtje e përgjithshme; shpjegimi i firewall është i saktë. Burimi i cituar (plani) është jorelevant.</t>
        </is>
      </c>
    </row>
    <row r="275" ht="449.25" customHeight="1" s="19">
      <c r="A275" s="25" t="n">
        <v>55</v>
      </c>
      <c r="B275" s="25" t="inlineStr">
        <is>
          <t>B</t>
        </is>
      </c>
      <c r="C275" s="25" t="inlineStr">
        <is>
          <t>jo</t>
        </is>
      </c>
      <c r="D275" s="25" t="inlineStr">
        <is>
          <t>Më shpjego çfarë është një firewall.</t>
        </is>
      </c>
      <c r="E275" s="25" t="inlineStr">
        <is>
          <t>Mund të japë shpjegim të përgjithshëm, por fillon me shënimin që nuk ka materiale të lëndës dhe që kjo është përmbajtje e përgjithshme, jo nga lënda</t>
        </is>
      </c>
      <c r="F275" s="25" t="n">
        <v>4</v>
      </c>
      <c r="G275" s="25" t="inlineStr">
        <is>
          <t>Nuk kam materiale të lëndës "Kontrolli dhe auditimi i sigurisë në rrjetat kompjuterike" në bazën e njohurive; kjo është përmbajtje e përgjithshme për temën, jo nga materialet e lëndës.
## Çfarë është një Firewall?
**Firewall** është një sistem sigurie që kontrollon dhe menaxhon trafikun e të dhënave që kalon nëpër një rrjet kompjuterik. Ai vepron si një barrierë midis një rrjeti të besueshëm (siç është rrjeti i brendshëm i një kompanie) dhe një rrjeti të pa besueshëm (si interneti).
### Si funksionon një Firewall?
1. **Filtrimi i Trafikut**: Firewall-i analizon të dhënat që hyjnë dhe dalin nga rrjeti. Ai përdor rregulla të caktuara për të vendosur nëse duhet të lejojë ose bllokojë këtë trafik.
2. **Rregullat e Sigurisë**: Administratori i rrjetit krijon rregulla që përcaktojnë se cilat lloje të trafikut janë të lejuara dhe cilat janë të ndaluara. Këto rregulla mund të bazohen në adresat IP, portet, ose protokollet e komunikimit.
3. **Monitorimi**: Firewall-i gjithashtu monitoron aktivitetin në rrjet dhe mund të regjistrojë përpjekjet për të hyrë në sistem, duke ndihmuar në identifikimin e sulmeve të mundshme.
### Shembulli i një Firewall-i
Mund ta imagjinoni firewall-in si një roje në hyrje të një ndërtese. 
- **Rregullat**: Rojet kanë një listë emrash të personave që janë të autorizuar të hyjnë. Nëse dikush që nuk është në listë përpiqet të hyjë, ata nuk lejohet.
- **Monitorimi**: Po ashtu, rojet mund të shikojnë nëse ndokush po përpiqet të hyjë me mënyra të dyshimta dhe të raportojnë për këtë.
Në përmbledhje, firewall-i është një komponent i rëndësishëm i sigurisë në rrjetet kompjuterike, duke ndihmuar në mbrojtjen e informacionit dhe burimeve nga sulmet e jashtme.
## Burimet
- Burimi: Master i Shkencave në Teknologji Informacioni, faqja 1</t>
        </is>
      </c>
      <c r="H275" s="25" t="inlineStr">
        <is>
          <t>MSc_-Teknologji-Informacioni.pdf (f. 1)</t>
        </is>
      </c>
      <c r="I275" s="25" t="n">
        <v>11.05</v>
      </c>
      <c r="J275" s="26" t="inlineStr">
        <is>
          <t>E saktë</t>
        </is>
      </c>
      <c r="K275" s="26" t="inlineStr">
        <is>
          <t>jo</t>
        </is>
      </c>
      <c r="L275" s="25" t="inlineStr">
        <is>
          <t>Fillon me shënimin që nuk ka materiale të lëndës dhe se kjo është përmbajtje e përgjithshme; shpjegimi i firewall është i saktë. Burimi i cituar (plani) është jorelevant.</t>
        </is>
      </c>
    </row>
    <row r="276" ht="426.85" customHeight="1" s="19">
      <c r="A276" s="25" t="n">
        <v>55</v>
      </c>
      <c r="B276" s="25" t="inlineStr">
        <is>
          <t>B</t>
        </is>
      </c>
      <c r="C276" s="25" t="inlineStr">
        <is>
          <t>jo</t>
        </is>
      </c>
      <c r="D276" s="25" t="inlineStr">
        <is>
          <t>Më shpjego çfarë është një firewall.</t>
        </is>
      </c>
      <c r="E276" s="25" t="inlineStr">
        <is>
          <t>Mund të japë shpjegim të përgjithshëm, por fillon me shënimin që nuk ka materiale të lëndës dhe që kjo është përmbajtje e përgjithshme, jo nga lënda</t>
        </is>
      </c>
      <c r="F276" s="25" t="n">
        <v>5</v>
      </c>
      <c r="G276" s="25" t="inlineStr">
        <is>
          <t>Nuk kam materiale të lëndës Kontrolli dhe auditimi i sigurisë në rrjetat kompjuterike në bazën e njohurive; kjo është përmbajtje e përgjithshme për temën, jo nga materialet e lëndës.
## Çfarë është një Firewall?
**Firewall** është një sistem sigurie që kontrollon dhe menaxhon trafikun e të dhënave që kalon midis rrjetit tuaj dhe rrjeteve të tjera, si interneti. Ai vepron si një barrierë mbrojtëse që ndihmon në parandalimin e hyrjeve të paautorizuara dhe sulmeve të mundshme.
### Si funksionon një Firewall?
1. **Filtrimi i Trafikut**: Firewall-i analizon të dhënat që hyjnë dhe dalin nga rrjeti. Ai përdor rregulla të caktuara për të vendosur nëse duhet të lejojë ose bllokojë një lidhje të caktuar.
2. **Rregullat e Sigurisë**: Administratori i rrjetit krijon rregulla që përcaktojnë se cilat lloje të trafikut janë të lejuara dhe cilat janë të ndaluara. Këto rregulla mund të bazohen në adresat IP, portet, ose protokollet e komunikimit.
3. **Monitorimi i Aktivitetit**: Firewall-i gjithashtu monitoron aktivitetin e rrjetit për të identifikuar çdo sjellje të dyshimtë ose të paautorizuar.
### Shembull:
Mendo për një firewall si një roje në hyrje të një ndërtese. 
- **Lejimi i Hyrjes**: Nëse një person ka një kartë identiteti të vlefshme (si një adresë IP e njohur), roja e lejon atë të hyjë.
- **Bllokimi i Hyrjes**: Nëse dikush përpiqet të hyjë pa një kartë identiteti (si një adresë IP e panjohur ose e dyshimtë), roja e ndalon atë.
Kështu, firewall-i ndihmon në mbrojtjen e rrjetit nga kërcënime të jashtme, duke siguruar që vetëm përdoruesit e autorizuar të kenë akses në burimet e brendshme.
## Burimet
- Burimi: Master i Shkencave në Teknologji Informacioni, faqja 1</t>
        </is>
      </c>
      <c r="H276" s="25" t="inlineStr">
        <is>
          <t>MSc_-Teknologji-Informacioni.pdf (f. 1)</t>
        </is>
      </c>
      <c r="I276" s="25" t="n">
        <v>8.109999999999999</v>
      </c>
      <c r="J276" s="26" t="inlineStr">
        <is>
          <t>E saktë</t>
        </is>
      </c>
      <c r="K276" s="26" t="inlineStr">
        <is>
          <t>jo</t>
        </is>
      </c>
      <c r="L276" s="25" t="inlineStr">
        <is>
          <t>Fillon me shënimin që nuk ka materiale të lëndës dhe se kjo është përmbajtje e përgjithshme; shpjegimi i firewall është i saktë. Burimi i cituar (plani) është jorelevant.</t>
        </is>
      </c>
    </row>
    <row r="277" ht="46.25" customHeight="1" s="19">
      <c r="A277" s="23" t="n">
        <v>56</v>
      </c>
      <c r="B277" s="23" t="inlineStr">
        <is>
          <t>B</t>
        </is>
      </c>
      <c r="C277" s="23" t="inlineStr">
        <is>
          <t>jo</t>
        </is>
      </c>
      <c r="D277" s="23" t="inlineStr">
        <is>
          <t>Çfarë janë Signals në Angular?</t>
        </is>
      </c>
      <c r="E277" s="23" t="inlineStr">
        <is>
          <t>Materialet përmendin Angular vetëm si kornizë frontend dhe nuk trajtojnë Signals; duhet ta thotë hapur dhe të mos e paraqesë si pjesë të lëndës</t>
        </is>
      </c>
      <c r="F277" s="23" t="n">
        <v>1</v>
      </c>
      <c r="G277" s="23" t="inlineStr">
        <is>
          <t>(Teksti i përgjigjes së ekzekutimit origjinal nuk është i disponueshëm – vlerësimi është marrë nga Shtojca A.)</t>
        </is>
      </c>
      <c r="H277" s="23" t="n"/>
      <c r="I277" s="23" t="n">
        <v>5.63</v>
      </c>
      <c r="J277" s="24" t="inlineStr">
        <is>
          <t>Pjesërisht e saktë</t>
        </is>
      </c>
      <c r="K277" s="24" t="inlineStr">
        <is>
          <t>po</t>
        </is>
      </c>
      <c r="L277" s="23" t="n"/>
    </row>
    <row r="278" ht="348.5" customHeight="1" s="19">
      <c r="A278" s="25" t="n">
        <v>56</v>
      </c>
      <c r="B278" s="25" t="inlineStr">
        <is>
          <t>B</t>
        </is>
      </c>
      <c r="C278" s="25" t="inlineStr">
        <is>
          <t>jo</t>
        </is>
      </c>
      <c r="D278" s="25" t="inlineStr">
        <is>
          <t>Çfarë janë Signals në Angular?</t>
        </is>
      </c>
      <c r="E278" s="25" t="inlineStr">
        <is>
          <t>Materialet përmendin Angular vetëm si kornizë frontend dhe nuk trajtojnë Signals; duhet ta thotë hapur dhe të mos e paraqesë si pjesë të lëndës</t>
        </is>
      </c>
      <c r="F278" s="25" t="n">
        <v>2</v>
      </c>
      <c r="G278" s="25" t="inlineStr">
        <is>
          <t>## Informacion mbi lëndën
- **Emri i lëndës**: Zhvillim Webi: aplikime dhe programim
- **ECTS**: 10
- **Viti**: 2
- **Semestri**: 2
- **Kategoria**: Lëndë karakterizuese
- **Specializimi**: Master i Shkencave në Teknologji Informacioni (Burimi: Master i Shkencave në Teknologji Informacioni, f. 1)
Përshkrimi, temat dhe objektivat e të nxënit nuk janë të disponueshme në burimet e ngarkuara.
## Çfarë janë Signals në Angular?
Nuk kam materiale të lëndës në bazën e njohurive; kjo është përmbajtje e përgjithshme për temën, jo nga materialet e lëndës.
**Signals** në Angular janë një koncept që përdoret për të menaxhuar komunikimin midis komponentëve dhe shërbimeve. Ato lejojnë që komponentët të dërgojnë dhe të marrin njoftime për ngjarje të ndryshme, duke lehtësuar kështu ndërveprimin dhe menaxhimin e gjendjes brenda aplikacioneve. Kjo është veçanërisht e dobishme në aplikacionet e mëdha, ku shumë komponentë mund të kenë nevojë të reagojnë ndaj ndryshimeve në të dhëna ose ngjarje të tjera.
Në Angular, përdorimi i signals mund të ndihmojë në reduktimin e kompleksitetit të kodit dhe në përmirësimin e performancës duke minimizuar nevojën për të kaluar të dhëna midis komponentëve nëpërmjet props ose shërbimeve të tjera.
## Burimet
- Burimi: Master i Shkencave në Teknologji Informacioni, faqja 1</t>
        </is>
      </c>
      <c r="H278" s="25" t="inlineStr">
        <is>
          <t>MSc_-Teknologji-Informacioni.pdf (f. 1)</t>
        </is>
      </c>
      <c r="I278" s="25" t="n">
        <v>7.03</v>
      </c>
      <c r="J278" s="26" t="inlineStr">
        <is>
          <t>E pasaktë</t>
        </is>
      </c>
      <c r="K278" s="26" t="inlineStr">
        <is>
          <t>po</t>
        </is>
      </c>
      <c r="L278" s="25" t="inlineStr">
        <is>
          <t>Shënon që është përmbajtje e përgjithshme, por përkufizimi i Signals është i gabuar: i paraqet si mekanizëm komunikimi/njoftimi midis komponentëve (si EventEmitter), ndërsa janë primitivë reaktivë për gjendjen. Shtohet edhe bllok i panevojshëm informacioni mbi lëndën.</t>
        </is>
      </c>
    </row>
    <row r="279" ht="348.5" customHeight="1" s="19">
      <c r="A279" s="25" t="n">
        <v>56</v>
      </c>
      <c r="B279" s="25" t="inlineStr">
        <is>
          <t>B</t>
        </is>
      </c>
      <c r="C279" s="25" t="inlineStr">
        <is>
          <t>jo</t>
        </is>
      </c>
      <c r="D279" s="25" t="inlineStr">
        <is>
          <t>Çfarë janë Signals në Angular?</t>
        </is>
      </c>
      <c r="E279" s="25" t="inlineStr">
        <is>
          <t>Materialet përmendin Angular vetëm si kornizë frontend dhe nuk trajtojnë Signals; duhet ta thotë hapur dhe të mos e paraqesë si pjesë të lëndës</t>
        </is>
      </c>
      <c r="F279" s="25" t="n">
        <v>3</v>
      </c>
      <c r="G279" s="25" t="inlineStr">
        <is>
          <t>## Informacion mbi lëndën
- **Emri i lëndës**: Zhvillim Webi: aplikime dhe programim
- **ECTS**: 10
- **Viti**: 2
- **Semestri**: 2
- **Kategoria**: Lëndë karakterizuese
- **Specializimi**: Master i Shkencave në Teknologji Informacioni (Burimi: Master i Shkencave në Teknologji Informacioni, f. 1)
Përshkrimi, temat dhe objektivat e të nxënit nuk janë të disponueshme në burimet e ngarkuara.
## Çfarë janë Signals në Angular?
Nuk kam materiale të lëndës në bazën e njohurive; kjo është përmbajtje e përgjithshme për temën, jo nga materialet e lëndës. 
**Signals** në Angular janë një koncept që lidhet me menaxhimin e ngjarjeve dhe komunikimin midis komponentëve. Ato lejojnë që komponentët të dërgojnë dhe marrin informacione në mënyrë reaktive, duke ndihmuar në ndarjen e logjikës dhe përmirësimin e performancës së aplikacioneve. Signals janë të ngjashme me mekanizmat e ngjarjeve, por ofrojnë një mënyrë më të thjeshtë dhe më të qartë për të menaxhuar komunikimin midis pjesëve të ndryshme të aplikacionit. 
Në Angular, përdorimi i Signals ndihmon në reduktimin e kompleksitetit të kodit dhe në rritjen e efikasitetit të aplikacioneve duke lejuar që komponentët të reagojnë në mënyrë dinamike ndaj ndryshimeve në të dhëna.
## Burimet
- Burimi: Master i Shkencave në Teknologji Informacioni, faqja 1</t>
        </is>
      </c>
      <c r="H279" s="25" t="inlineStr">
        <is>
          <t>MSc_-Teknologji-Informacioni.pdf (f. 1)</t>
        </is>
      </c>
      <c r="I279" s="25" t="n">
        <v>6.81</v>
      </c>
      <c r="J279" s="26" t="inlineStr">
        <is>
          <t>E pasaktë</t>
        </is>
      </c>
      <c r="K279" s="26" t="inlineStr">
        <is>
          <t>po</t>
        </is>
      </c>
      <c r="L279" s="25" t="inlineStr">
        <is>
          <t>Shënon që është përmbajtje e përgjithshme, por përkufizimi i Signals është i gabuar: i paraqet si mekanizëm komunikimi/njoftimi midis komponentëve (si EventEmitter), ndërsa janë primitivë reaktivë për gjendjen. Shtohet edhe bllok i panevojshëm informacioni mbi lëndën.</t>
        </is>
      </c>
    </row>
    <row r="280" ht="326.1" customHeight="1" s="19">
      <c r="A280" s="25" t="n">
        <v>56</v>
      </c>
      <c r="B280" s="25" t="inlineStr">
        <is>
          <t>B</t>
        </is>
      </c>
      <c r="C280" s="25" t="inlineStr">
        <is>
          <t>jo</t>
        </is>
      </c>
      <c r="D280" s="25" t="inlineStr">
        <is>
          <t>Çfarë janë Signals në Angular?</t>
        </is>
      </c>
      <c r="E280" s="25" t="inlineStr">
        <is>
          <t>Materialet përmendin Angular vetëm si kornizë frontend dhe nuk trajtojnë Signals; duhet ta thotë hapur dhe të mos e paraqesë si pjesë të lëndës</t>
        </is>
      </c>
      <c r="F280" s="25" t="n">
        <v>4</v>
      </c>
      <c r="G280" s="25" t="inlineStr">
        <is>
          <t>## Informacion mbi lëndën
- **Emri i lëndës**: Zhvillim Webi: aplikime dhe programim
- **ECTS**: 10
- **Viti**: 2
- **Semestri**: 2
- **Kategoria**: Lëndë karakterizuese
- **Specializimi**: Master i Shkencave në Teknologji Informacioni (Burimi: Master i Shkencave në Teknologji Informacioni, f. 1)
Përshkrimi, temat dhe objektivat e të nxënit nuk janë të disponueshme në burimet e ngarkuara.
## Çfarë janë Signals në Angular?
Nuk kam materiale të lëndës në bazën e njohurive; kjo është përmbajtje e përgjithshme për temën, jo nga materialet e lëndës. 
**Signals** në Angular janë një koncept i ri që ndihmon në menaxhimin e komunikimit midis komponentëve dhe shërbimeve në aplikacionet Angular. Ato lejojnë që komponentët të dërgojnë dhe marrin njoftime për ndryshime të caktuara, duke ndihmuar në përmirësimin e performancës dhe duke reduktuar nevojën për të përdorur mekanizma të tjerë si EventEmitter. 
Signals janë të dobishme për të menaxhuar gjendjen e aplikacionit dhe për të lehtësuar ndërveprimin midis pjesëve të ndryshme të aplikacionit.
## Burimet
- Burimi: Master i Shkencave në Teknologji Informacioni, faqja 1</t>
        </is>
      </c>
      <c r="H280" s="25" t="inlineStr">
        <is>
          <t>MSc_-Teknologji-Informacioni.pdf (f. 1)</t>
        </is>
      </c>
      <c r="I280" s="25" t="n">
        <v>6.65</v>
      </c>
      <c r="J280" s="26" t="inlineStr">
        <is>
          <t>E pasaktë</t>
        </is>
      </c>
      <c r="K280" s="26" t="inlineStr">
        <is>
          <t>po</t>
        </is>
      </c>
      <c r="L280" s="25" t="inlineStr">
        <is>
          <t>Shënon që është përmbajtje e përgjithshme, por përkufizimi i Signals është i gabuar: i paraqet si mekanizëm komunikimi/njoftimi midis komponentëve (si EventEmitter), ndërsa janë primitivë reaktivë për gjendjen. Shtohet edhe bllok i panevojshëm informacioni mbi lëndën.</t>
        </is>
      </c>
    </row>
    <row r="281" ht="314.9" customHeight="1" s="19">
      <c r="A281" s="25" t="n">
        <v>56</v>
      </c>
      <c r="B281" s="25" t="inlineStr">
        <is>
          <t>B</t>
        </is>
      </c>
      <c r="C281" s="25" t="inlineStr">
        <is>
          <t>jo</t>
        </is>
      </c>
      <c r="D281" s="25" t="inlineStr">
        <is>
          <t>Çfarë janë Signals në Angular?</t>
        </is>
      </c>
      <c r="E281" s="25" t="inlineStr">
        <is>
          <t>Materialet përmendin Angular vetëm si kornizë frontend dhe nuk trajtojnë Signals; duhet ta thotë hapur dhe të mos e paraqesë si pjesë të lëndës</t>
        </is>
      </c>
      <c r="F281" s="25" t="n">
        <v>5</v>
      </c>
      <c r="G281" s="25" t="inlineStr">
        <is>
          <t>## Informacion mbi lëndën
- **Emri i lëndës**: Zhvillim Webi: aplikime dhe programim
- **ECTS**: 10
- **Viti**: 2
- **Semestri**: 2
- **Kategoria**: Lëndë karakterizuese
- **Specializimi**: Master i Shkencave në Teknologji Informacioni (Burimi: Master i Shkencave në Teknologji Informacioni, f. 1)
Përshkrimi, temat dhe objektivat e të nxënit nuk janë të disponueshme në burimet e ngarkuara.
## Çfarë janë Signals në Angular?
Nuk kam materiale të lëndës në bazën e njohurive; kjo është përmbajtje e përgjithshme për temën, jo nga materialet e lëndës.
**Signals** në Angular janë një koncept që përdoret për të menaxhuar komunikimin dhe ndërlidhjen midis komponentëve dhe shërbimeve. Ato lejojnë që komponentët të dërgojnë dhe marrin njoftime për ngjarje të ndryshme, duke ndihmuar në ndarjen e logjikës dhe përmirësimin e ndërveprimit në aplikacione. Signals mund të përdoren për të ndihmuar në menaxhimin e gjendjes dhe për të reaguar ndaj ndryshimeve në të dhëna, duke lejuar që aplikacioni të jetë më reagues dhe të ofrojë një përvojë më të mirë për përdoruesit.
## Burimet
- Burimi: Master i Shkencave në Teknologji Informacioni, faqja 1</t>
        </is>
      </c>
      <c r="H281" s="25" t="inlineStr">
        <is>
          <t>MSc_-Teknologji-Informacioni.pdf (f. 1)</t>
        </is>
      </c>
      <c r="I281" s="25" t="n">
        <v>6.78</v>
      </c>
      <c r="J281" s="26" t="inlineStr">
        <is>
          <t>E pasaktë</t>
        </is>
      </c>
      <c r="K281" s="26" t="inlineStr">
        <is>
          <t>po</t>
        </is>
      </c>
      <c r="L281" s="25" t="inlineStr">
        <is>
          <t>Shënon që është përmbajtje e përgjithshme, por përkufizimi i Signals është i gabuar: i paraqet si mekanizëm komunikimi/njoftimi midis komponentëve (si EventEmitter), ndërsa janë primitivë reaktivë për gjendjen. Shtohet edhe bllok i panevojshëm informacioni mbi lëndën.</t>
        </is>
      </c>
    </row>
  </sheetData>
  <autoFilter ref="A1:L281"/>
  <dataValidations count="2">
    <dataValidation sqref="J2:J281" showDropDown="0" showInputMessage="0" showErrorMessage="0" allowBlank="1" type="list" errorStyle="stop" operator="between">
      <formula1>"E saktë,Pjesërisht e saktë,E pasaktë"</formula1>
      <formula2>0</formula2>
    </dataValidation>
    <dataValidation sqref="K2:K281" showDropDown="0" showInputMessage="0" showErrorMessage="0" allowBlank="1" type="list" errorStyle="stop" operator="between">
      <formula1>"po,jo"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1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48" customWidth="1" style="18" min="1" max="1"/>
    <col width="13" customWidth="1" style="18" min="2" max="9"/>
  </cols>
  <sheetData>
    <row r="1" ht="15" customHeight="1" s="19">
      <c r="A1" s="28" t="inlineStr">
        <is>
          <t>Treguesi</t>
        </is>
      </c>
      <c r="B1" s="28" t="inlineStr">
        <is>
          <t>Ekz. 1</t>
        </is>
      </c>
      <c r="C1" s="28" t="inlineStr">
        <is>
          <t>Ekz. 2</t>
        </is>
      </c>
      <c r="D1" s="28" t="inlineStr">
        <is>
          <t>Ekz. 3</t>
        </is>
      </c>
      <c r="E1" s="28" t="inlineStr">
        <is>
          <t>Ekz. 4</t>
        </is>
      </c>
      <c r="F1" s="28" t="inlineStr">
        <is>
          <t>Ekz. 5</t>
        </is>
      </c>
      <c r="G1" s="28" t="inlineStr">
        <is>
          <t>Mesatarja</t>
        </is>
      </c>
      <c r="H1" s="28" t="inlineStr">
        <is>
          <t>Devijimi std.</t>
        </is>
      </c>
      <c r="I1" s="28" t="inlineStr">
        <is>
          <t>Të vlerësuara</t>
        </is>
      </c>
    </row>
    <row r="2" ht="15" customHeight="1" s="19">
      <c r="A2" s="29" t="inlineStr">
        <is>
          <t>Saktësia e plotë – gjithsej (56)</t>
        </is>
      </c>
      <c r="B2" s="30">
        <f>COUNTIFS(Vleresimi!$F$2:$F$281,1,Vleresimi!$J$2:$J$281,"E saktë")/56</f>
        <v/>
      </c>
      <c r="C2" s="30">
        <f>COUNTIFS(Vleresimi!$F$2:$F$281,2,Vleresimi!$J$2:$J$281,"E saktë")/56</f>
        <v/>
      </c>
      <c r="D2" s="30">
        <f>COUNTIFS(Vleresimi!$F$2:$F$281,3,Vleresimi!$J$2:$J$281,"E saktë")/56</f>
        <v/>
      </c>
      <c r="E2" s="30">
        <f>COUNTIFS(Vleresimi!$F$2:$F$281,4,Vleresimi!$J$2:$J$281,"E saktë")/56</f>
        <v/>
      </c>
      <c r="F2" s="30">
        <f>COUNTIFS(Vleresimi!$F$2:$F$281,5,Vleresimi!$J$2:$J$281,"E saktë")/56</f>
        <v/>
      </c>
      <c r="G2" s="31">
        <f>AVERAGE(B2:F2)</f>
        <v/>
      </c>
      <c r="H2" s="31">
        <f>STDEV(B2:F2)</f>
        <v/>
      </c>
    </row>
    <row r="3" ht="15" customHeight="1" s="19">
      <c r="A3" s="29" t="inlineStr">
        <is>
          <t>Pjesërisht e saktë – gjithsej</t>
        </is>
      </c>
      <c r="B3" s="30">
        <f>COUNTIFS(Vleresimi!$F$2:$F$281,1,Vleresimi!$J$2:$J$281,"Pjesërisht e saktë")/56</f>
        <v/>
      </c>
      <c r="C3" s="30">
        <f>COUNTIFS(Vleresimi!$F$2:$F$281,2,Vleresimi!$J$2:$J$281,"Pjesërisht e saktë")/56</f>
        <v/>
      </c>
      <c r="D3" s="30">
        <f>COUNTIFS(Vleresimi!$F$2:$F$281,3,Vleresimi!$J$2:$J$281,"Pjesërisht e saktë")/56</f>
        <v/>
      </c>
      <c r="E3" s="30">
        <f>COUNTIFS(Vleresimi!$F$2:$F$281,4,Vleresimi!$J$2:$J$281,"Pjesërisht e saktë")/56</f>
        <v/>
      </c>
      <c r="F3" s="30">
        <f>COUNTIFS(Vleresimi!$F$2:$F$281,5,Vleresimi!$J$2:$J$281,"Pjesërisht e saktë")/56</f>
        <v/>
      </c>
      <c r="G3" s="31">
        <f>AVERAGE(B3:F3)</f>
        <v/>
      </c>
      <c r="H3" s="31">
        <f>STDEV(B3:F3)</f>
        <v/>
      </c>
    </row>
    <row r="4" ht="15" customHeight="1" s="19">
      <c r="A4" s="29" t="inlineStr">
        <is>
          <t>E pasaktë – gjithsej</t>
        </is>
      </c>
      <c r="B4" s="30">
        <f>COUNTIFS(Vleresimi!$F$2:$F$281,1,Vleresimi!$J$2:$J$281,"E pasaktë")/56</f>
        <v/>
      </c>
      <c r="C4" s="30">
        <f>COUNTIFS(Vleresimi!$F$2:$F$281,2,Vleresimi!$J$2:$J$281,"E pasaktë")/56</f>
        <v/>
      </c>
      <c r="D4" s="30">
        <f>COUNTIFS(Vleresimi!$F$2:$F$281,3,Vleresimi!$J$2:$J$281,"E pasaktë")/56</f>
        <v/>
      </c>
      <c r="E4" s="30">
        <f>COUNTIFS(Vleresimi!$F$2:$F$281,4,Vleresimi!$J$2:$J$281,"E pasaktë")/56</f>
        <v/>
      </c>
      <c r="F4" s="30">
        <f>COUNTIFS(Vleresimi!$F$2:$F$281,5,Vleresimi!$J$2:$J$281,"E pasaktë")/56</f>
        <v/>
      </c>
      <c r="G4" s="31">
        <f>AVERAGE(B4:F4)</f>
        <v/>
      </c>
      <c r="H4" s="31">
        <f>STDEV(B4:F4)</f>
        <v/>
      </c>
    </row>
    <row r="5" ht="15" customHeight="1" s="19">
      <c r="A5" s="29" t="inlineStr">
        <is>
          <t>Saktësia e plotë – brenda bazës (42)</t>
        </is>
      </c>
      <c r="B5" s="30">
        <f>COUNTIFS(Vleresimi!$F$2:$F$281,1,Vleresimi!$J$2:$J$281,"E saktë",Vleresimi!$C$2:$C$281,"po")/42</f>
        <v/>
      </c>
      <c r="C5" s="30">
        <f>COUNTIFS(Vleresimi!$F$2:$F$281,2,Vleresimi!$J$2:$J$281,"E saktë",Vleresimi!$C$2:$C$281,"po")/42</f>
        <v/>
      </c>
      <c r="D5" s="30">
        <f>COUNTIFS(Vleresimi!$F$2:$F$281,3,Vleresimi!$J$2:$J$281,"E saktë",Vleresimi!$C$2:$C$281,"po")/42</f>
        <v/>
      </c>
      <c r="E5" s="30">
        <f>COUNTIFS(Vleresimi!$F$2:$F$281,4,Vleresimi!$J$2:$J$281,"E saktë",Vleresimi!$C$2:$C$281,"po")/42</f>
        <v/>
      </c>
      <c r="F5" s="30">
        <f>COUNTIFS(Vleresimi!$F$2:$F$281,5,Vleresimi!$J$2:$J$281,"E saktë",Vleresimi!$C$2:$C$281,"po")/42</f>
        <v/>
      </c>
      <c r="G5" s="31">
        <f>AVERAGE(B5:F5)</f>
        <v/>
      </c>
      <c r="H5" s="31">
        <f>STDEV(B5:F5)</f>
        <v/>
      </c>
    </row>
    <row r="6" ht="15" customHeight="1" s="19">
      <c r="A6" s="29" t="inlineStr">
        <is>
          <t>Jashtë bazës të trajtuara saktë: abstenim ose shënim si përmbajtje e përgjithshme (14)</t>
        </is>
      </c>
      <c r="B6" s="30">
        <f>(COUNTIFS(Vleresimi!$F$2:$F$281,1,Vleresimi!$J$2:$J$281,"E saktë",Vleresimi!$C$2:$C$281,"jo")+COUNTIFS(Vleresimi!$F$2:$F$281,1,Vleresimi!$J$2:$J$281,"Pjesërisht e saktë",Vleresimi!$C$2:$C$281,"jo"))/14</f>
        <v/>
      </c>
      <c r="C6" s="30">
        <f>(COUNTIFS(Vleresimi!$F$2:$F$281,2,Vleresimi!$J$2:$J$281,"E saktë",Vleresimi!$C$2:$C$281,"jo")+COUNTIFS(Vleresimi!$F$2:$F$281,2,Vleresimi!$J$2:$J$281,"Pjesërisht e saktë",Vleresimi!$C$2:$C$281,"jo"))/14</f>
        <v/>
      </c>
      <c r="D6" s="30">
        <f>(COUNTIFS(Vleresimi!$F$2:$F$281,3,Vleresimi!$J$2:$J$281,"E saktë",Vleresimi!$C$2:$C$281,"jo")+COUNTIFS(Vleresimi!$F$2:$F$281,3,Vleresimi!$J$2:$J$281,"Pjesërisht e saktë",Vleresimi!$C$2:$C$281,"jo"))/14</f>
        <v/>
      </c>
      <c r="E6" s="30">
        <f>(COUNTIFS(Vleresimi!$F$2:$F$281,4,Vleresimi!$J$2:$J$281,"E saktë",Vleresimi!$C$2:$C$281,"jo")+COUNTIFS(Vleresimi!$F$2:$F$281,4,Vleresimi!$J$2:$J$281,"Pjesërisht e saktë",Vleresimi!$C$2:$C$281,"jo"))/14</f>
        <v/>
      </c>
      <c r="F6" s="30">
        <f>(COUNTIFS(Vleresimi!$F$2:$F$281,5,Vleresimi!$J$2:$J$281,"E saktë",Vleresimi!$C$2:$C$281,"jo")+COUNTIFS(Vleresimi!$F$2:$F$281,5,Vleresimi!$J$2:$J$281,"Pjesërisht e saktë",Vleresimi!$C$2:$C$281,"jo"))/14</f>
        <v/>
      </c>
      <c r="G6" s="31">
        <f>AVERAGE(B6:F6)</f>
        <v/>
      </c>
      <c r="H6" s="31">
        <f>STDEV(B6:F6)</f>
        <v/>
      </c>
    </row>
    <row r="7" ht="15" customHeight="1" s="19">
      <c r="A7" s="29" t="inlineStr">
        <is>
          <t>E pasaktë brenda bazës (42)</t>
        </is>
      </c>
      <c r="B7" s="30">
        <f>COUNTIFS(Vleresimi!$F$2:$F$281,1,Vleresimi!$J$2:$J$281,"E pasaktë",Vleresimi!$C$2:$C$281,"po")/42</f>
        <v/>
      </c>
      <c r="C7" s="30">
        <f>COUNTIFS(Vleresimi!$F$2:$F$281,2,Vleresimi!$J$2:$J$281,"E pasaktë",Vleresimi!$C$2:$C$281,"po")/42</f>
        <v/>
      </c>
      <c r="D7" s="30">
        <f>COUNTIFS(Vleresimi!$F$2:$F$281,3,Vleresimi!$J$2:$J$281,"E pasaktë",Vleresimi!$C$2:$C$281,"po")/42</f>
        <v/>
      </c>
      <c r="E7" s="30">
        <f>COUNTIFS(Vleresimi!$F$2:$F$281,4,Vleresimi!$J$2:$J$281,"E pasaktë",Vleresimi!$C$2:$C$281,"po")/42</f>
        <v/>
      </c>
      <c r="F7" s="30">
        <f>COUNTIFS(Vleresimi!$F$2:$F$281,5,Vleresimi!$J$2:$J$281,"E pasaktë",Vleresimi!$C$2:$C$281,"po")/42</f>
        <v/>
      </c>
      <c r="G7" s="31">
        <f>AVERAGE(B7:F7)</f>
        <v/>
      </c>
      <c r="H7" s="31">
        <f>STDEV(B7:F7)</f>
        <v/>
      </c>
    </row>
    <row r="8" ht="15" customHeight="1" s="19">
      <c r="A8" s="29" t="inlineStr">
        <is>
          <t>Përgjigje me halucinacion (56)</t>
        </is>
      </c>
      <c r="B8" s="30">
        <f>COUNTIFS(Vleresimi!$F$2:$F$281,1,Vleresimi!$K$2:$K$281,"po")/56</f>
        <v/>
      </c>
      <c r="C8" s="30">
        <f>COUNTIFS(Vleresimi!$F$2:$F$281,2,Vleresimi!$K$2:$K$281,"po")/56</f>
        <v/>
      </c>
      <c r="D8" s="30">
        <f>COUNTIFS(Vleresimi!$F$2:$F$281,3,Vleresimi!$K$2:$K$281,"po")/56</f>
        <v/>
      </c>
      <c r="E8" s="30">
        <f>COUNTIFS(Vleresimi!$F$2:$F$281,4,Vleresimi!$K$2:$K$281,"po")/56</f>
        <v/>
      </c>
      <c r="F8" s="30">
        <f>COUNTIFS(Vleresimi!$F$2:$F$281,5,Vleresimi!$K$2:$K$281,"po")/56</f>
        <v/>
      </c>
      <c r="G8" s="31">
        <f>AVERAGE(B8:F8)</f>
        <v/>
      </c>
      <c r="H8" s="31">
        <f>STDEV(B8:F8)</f>
        <v/>
      </c>
    </row>
    <row r="9" ht="15" customHeight="1" s="19">
      <c r="A9" s="29" t="inlineStr">
        <is>
          <t>Koha mesatare (s)</t>
        </is>
      </c>
      <c r="B9" s="32">
        <f>AVERAGEIFS(Vleresimi!$I$2:$I$281,Vleresimi!$F$2:$F$281,1)</f>
        <v/>
      </c>
      <c r="C9" s="32">
        <f>AVERAGEIFS(Vleresimi!$I$2:$I$281,Vleresimi!$F$2:$F$281,2)</f>
        <v/>
      </c>
      <c r="D9" s="32">
        <f>AVERAGEIFS(Vleresimi!$I$2:$I$281,Vleresimi!$F$2:$F$281,3)</f>
        <v/>
      </c>
      <c r="E9" s="32">
        <f>AVERAGEIFS(Vleresimi!$I$2:$I$281,Vleresimi!$F$2:$F$281,4)</f>
        <v/>
      </c>
      <c r="F9" s="32">
        <f>AVERAGEIFS(Vleresimi!$I$2:$I$281,Vleresimi!$F$2:$F$281,5)</f>
        <v/>
      </c>
      <c r="G9" s="33">
        <f>AVERAGE(B9:F9)</f>
        <v/>
      </c>
      <c r="H9" s="33">
        <f>STDEV(B9:F9)</f>
        <v/>
      </c>
    </row>
    <row r="10" ht="15" customHeight="1" s="19">
      <c r="A10" s="29" t="inlineStr">
        <is>
          <t>Saktësia e plotë – grupi A (20)</t>
        </is>
      </c>
      <c r="B10" s="30">
        <f>COUNTIFS(Vleresimi!$F$2:$F$281,1,Vleresimi!$J$2:$J$281,"E saktë",Vleresimi!$B$2:$B$281,"A")/20</f>
        <v/>
      </c>
      <c r="C10" s="30">
        <f>COUNTIFS(Vleresimi!$F$2:$F$281,2,Vleresimi!$J$2:$J$281,"E saktë",Vleresimi!$B$2:$B$281,"A")/20</f>
        <v/>
      </c>
      <c r="D10" s="30">
        <f>COUNTIFS(Vleresimi!$F$2:$F$281,3,Vleresimi!$J$2:$J$281,"E saktë",Vleresimi!$B$2:$B$281,"A")/20</f>
        <v/>
      </c>
      <c r="E10" s="30">
        <f>COUNTIFS(Vleresimi!$F$2:$F$281,4,Vleresimi!$J$2:$J$281,"E saktë",Vleresimi!$B$2:$B$281,"A")/20</f>
        <v/>
      </c>
      <c r="F10" s="30">
        <f>COUNTIFS(Vleresimi!$F$2:$F$281,5,Vleresimi!$J$2:$J$281,"E saktë",Vleresimi!$B$2:$B$281,"A")/20</f>
        <v/>
      </c>
      <c r="G10" s="31">
        <f>AVERAGE(B10:F10)</f>
        <v/>
      </c>
      <c r="H10" s="31">
        <f>STDEV(B10:F10)</f>
        <v/>
      </c>
    </row>
    <row r="11" ht="15" customHeight="1" s="19">
      <c r="A11" s="29" t="inlineStr">
        <is>
          <t>Saktësia e plotë – grupi B (14)</t>
        </is>
      </c>
      <c r="B11" s="30">
        <f>COUNTIFS(Vleresimi!$F$2:$F$281,1,Vleresimi!$J$2:$J$281,"E saktë",Vleresimi!$B$2:$B$281,"B")/14</f>
        <v/>
      </c>
      <c r="C11" s="30">
        <f>COUNTIFS(Vleresimi!$F$2:$F$281,2,Vleresimi!$J$2:$J$281,"E saktë",Vleresimi!$B$2:$B$281,"B")/14</f>
        <v/>
      </c>
      <c r="D11" s="30">
        <f>COUNTIFS(Vleresimi!$F$2:$F$281,3,Vleresimi!$J$2:$J$281,"E saktë",Vleresimi!$B$2:$B$281,"B")/14</f>
        <v/>
      </c>
      <c r="E11" s="30">
        <f>COUNTIFS(Vleresimi!$F$2:$F$281,4,Vleresimi!$J$2:$J$281,"E saktë",Vleresimi!$B$2:$B$281,"B")/14</f>
        <v/>
      </c>
      <c r="F11" s="30">
        <f>COUNTIFS(Vleresimi!$F$2:$F$281,5,Vleresimi!$J$2:$J$281,"E saktë",Vleresimi!$B$2:$B$281,"B")/14</f>
        <v/>
      </c>
      <c r="G11" s="31">
        <f>AVERAGE(B11:F11)</f>
        <v/>
      </c>
      <c r="H11" s="31">
        <f>STDEV(B11:F11)</f>
        <v/>
      </c>
    </row>
    <row r="12" ht="15" customHeight="1" s="19">
      <c r="A12" s="29" t="inlineStr">
        <is>
          <t>Saktësia e plotë – grupi C (9)</t>
        </is>
      </c>
      <c r="B12" s="30">
        <f>COUNTIFS(Vleresimi!$F$2:$F$281,1,Vleresimi!$J$2:$J$281,"E saktë",Vleresimi!$B$2:$B$281,"C")/9</f>
        <v/>
      </c>
      <c r="C12" s="30">
        <f>COUNTIFS(Vleresimi!$F$2:$F$281,2,Vleresimi!$J$2:$J$281,"E saktë",Vleresimi!$B$2:$B$281,"C")/9</f>
        <v/>
      </c>
      <c r="D12" s="30">
        <f>COUNTIFS(Vleresimi!$F$2:$F$281,3,Vleresimi!$J$2:$J$281,"E saktë",Vleresimi!$B$2:$B$281,"C")/9</f>
        <v/>
      </c>
      <c r="E12" s="30">
        <f>COUNTIFS(Vleresimi!$F$2:$F$281,4,Vleresimi!$J$2:$J$281,"E saktë",Vleresimi!$B$2:$B$281,"C")/9</f>
        <v/>
      </c>
      <c r="F12" s="30">
        <f>COUNTIFS(Vleresimi!$F$2:$F$281,5,Vleresimi!$J$2:$J$281,"E saktë",Vleresimi!$B$2:$B$281,"C")/9</f>
        <v/>
      </c>
      <c r="G12" s="31">
        <f>AVERAGE(B12:F12)</f>
        <v/>
      </c>
      <c r="H12" s="31">
        <f>STDEV(B12:F12)</f>
        <v/>
      </c>
    </row>
    <row r="13" ht="15" customHeight="1" s="19">
      <c r="A13" s="29" t="inlineStr">
        <is>
          <t>Saktësia e plotë – grupi D (6)</t>
        </is>
      </c>
      <c r="B13" s="30">
        <f>COUNTIFS(Vleresimi!$F$2:$F$281,1,Vleresimi!$J$2:$J$281,"E saktë",Vleresimi!$B$2:$B$281,"D")/6</f>
        <v/>
      </c>
      <c r="C13" s="30">
        <f>COUNTIFS(Vleresimi!$F$2:$F$281,2,Vleresimi!$J$2:$J$281,"E saktë",Vleresimi!$B$2:$B$281,"D")/6</f>
        <v/>
      </c>
      <c r="D13" s="30">
        <f>COUNTIFS(Vleresimi!$F$2:$F$281,3,Vleresimi!$J$2:$J$281,"E saktë",Vleresimi!$B$2:$B$281,"D")/6</f>
        <v/>
      </c>
      <c r="E13" s="30">
        <f>COUNTIFS(Vleresimi!$F$2:$F$281,4,Vleresimi!$J$2:$J$281,"E saktë",Vleresimi!$B$2:$B$281,"D")/6</f>
        <v/>
      </c>
      <c r="F13" s="30">
        <f>COUNTIFS(Vleresimi!$F$2:$F$281,5,Vleresimi!$J$2:$J$281,"E saktë",Vleresimi!$B$2:$B$281,"D")/6</f>
        <v/>
      </c>
      <c r="G13" s="31">
        <f>AVERAGE(B13:F13)</f>
        <v/>
      </c>
      <c r="H13" s="31">
        <f>STDEV(B13:F13)</f>
        <v/>
      </c>
    </row>
    <row r="14" ht="15" customHeight="1" s="19">
      <c r="A14" s="29" t="inlineStr">
        <is>
          <t>Saktësia e plotë – grupi E (7)</t>
        </is>
      </c>
      <c r="B14" s="30">
        <f>COUNTIFS(Vleresimi!$F$2:$F$281,1,Vleresimi!$J$2:$J$281,"E saktë",Vleresimi!$B$2:$B$281,"E")/7</f>
        <v/>
      </c>
      <c r="C14" s="30">
        <f>COUNTIFS(Vleresimi!$F$2:$F$281,2,Vleresimi!$J$2:$J$281,"E saktë",Vleresimi!$B$2:$B$281,"E")/7</f>
        <v/>
      </c>
      <c r="D14" s="30">
        <f>COUNTIFS(Vleresimi!$F$2:$F$281,3,Vleresimi!$J$2:$J$281,"E saktë",Vleresimi!$B$2:$B$281,"E")/7</f>
        <v/>
      </c>
      <c r="E14" s="30">
        <f>COUNTIFS(Vleresimi!$F$2:$F$281,4,Vleresimi!$J$2:$J$281,"E saktë",Vleresimi!$B$2:$B$281,"E")/7</f>
        <v/>
      </c>
      <c r="F14" s="30">
        <f>COUNTIFS(Vleresimi!$F$2:$F$281,5,Vleresimi!$J$2:$J$281,"E saktë",Vleresimi!$B$2:$B$281,"E")/7</f>
        <v/>
      </c>
      <c r="G14" s="31">
        <f>AVERAGE(B14:F14)</f>
        <v/>
      </c>
      <c r="H14" s="31">
        <f>STDEV(B14:F14)</f>
        <v/>
      </c>
    </row>
    <row r="15" ht="15" customHeight="1" s="19">
      <c r="A15" s="34" t="inlineStr">
        <is>
          <t>Përgjigje të vlerësuara (duhet 56 për çdo ekzekutim)</t>
        </is>
      </c>
      <c r="B15" s="29">
        <f>COUNTIFS(Vleresimi!$F$2:$F$281,1,Vleresimi!$J$2:$J$281,"&lt;&gt;")</f>
        <v/>
      </c>
      <c r="C15" s="29">
        <f>COUNTIFS(Vleresimi!$F$2:$F$281,2,Vleresimi!$J$2:$J$281,"&lt;&gt;")</f>
        <v/>
      </c>
      <c r="D15" s="29">
        <f>COUNTIFS(Vleresimi!$F$2:$F$281,3,Vleresimi!$J$2:$J$281,"&lt;&gt;")</f>
        <v/>
      </c>
      <c r="E15" s="29">
        <f>COUNTIFS(Vleresimi!$F$2:$F$281,4,Vleresimi!$J$2:$J$281,"&lt;&gt;")</f>
        <v/>
      </c>
      <c r="F15" s="29">
        <f>COUNTIFS(Vleresimi!$F$2:$F$281,5,Vleresimi!$J$2:$J$281,"&lt;&gt;")</f>
        <v/>
      </c>
    </row>
    <row r="17" ht="15" customHeight="1" s="19">
      <c r="A17" s="35" t="inlineStr">
        <is>
          <t>Shënim: Ekzekutimi 1 = ekzekutimi origjinal; vlerësimet dhe kohët merren nga Shtojca A e tezës. Ekzekutimet 2–5 janë ekzekutimet e reja të evaluate.py me konfigurim identik (gpt-4o-mini, temperaturë 0,2, k = 5). Devijimi standard llogaritet mbi 5 ekzekutimet (STDEV).</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2026-10-06T20:25:55Z</dcterms:created>
  <dcterms:modified xmlns:dcterms="http://purl.org/dc/terms/" xmlns:xsi="http://www.w3.org/2001/XMLSchema-instance" xsi:type="dcterms:W3CDTF">2026-10-07T07:40:22Z</dcterms:modified>
  <cp:revision>0</cp:revision>
</cp:coreProperties>
</file>